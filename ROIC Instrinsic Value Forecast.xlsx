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"/>
    </mc:Choice>
  </mc:AlternateContent>
  <xr:revisionPtr revIDLastSave="0" documentId="13_ncr:1_{B6FA8B1D-3E25-4D44-A780-43E0E90ED3BA}" xr6:coauthVersionLast="47" xr6:coauthVersionMax="47" xr10:uidLastSave="{00000000-0000-0000-0000-000000000000}"/>
  <bookViews>
    <workbookView xWindow="-98" yWindow="-98" windowWidth="21795" windowHeight="12975" activeTab="3" xr2:uid="{CCE97AFB-9989-455E-854E-971B08272705}"/>
  </bookViews>
  <sheets>
    <sheet name="Sheet1" sheetId="1" r:id="rId1"/>
    <sheet name="ROIC" sheetId="2" r:id="rId2"/>
    <sheet name="Raw Data" sheetId="3" r:id="rId3"/>
    <sheet name="FC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4" l="1"/>
  <c r="C24" i="4"/>
  <c r="C33" i="4"/>
  <c r="C32" i="4"/>
  <c r="C23" i="4"/>
  <c r="C22" i="4"/>
  <c r="F12" i="4"/>
  <c r="G11" i="4"/>
  <c r="E9" i="4"/>
  <c r="E6" i="4"/>
  <c r="E4" i="4"/>
  <c r="B63" i="2"/>
  <c r="I46" i="2"/>
  <c r="F46" i="2"/>
  <c r="G46" i="2"/>
  <c r="H46" i="2"/>
  <c r="E46" i="2"/>
  <c r="F38" i="2"/>
  <c r="G38" i="2"/>
  <c r="H38" i="2"/>
  <c r="I38" i="2"/>
  <c r="E38" i="2"/>
  <c r="F34" i="2"/>
  <c r="G34" i="2"/>
  <c r="H34" i="2"/>
  <c r="I34" i="2"/>
  <c r="E34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F25" i="2"/>
  <c r="G25" i="2"/>
  <c r="H25" i="2"/>
  <c r="I25" i="2"/>
  <c r="E25" i="2"/>
  <c r="B32" i="2"/>
  <c r="B26" i="2"/>
  <c r="B27" i="2"/>
  <c r="B28" i="2"/>
  <c r="B29" i="2"/>
  <c r="B30" i="2"/>
  <c r="B31" i="2"/>
  <c r="B25" i="2"/>
  <c r="F18" i="2"/>
  <c r="G18" i="2"/>
  <c r="H18" i="2"/>
  <c r="I18" i="2"/>
  <c r="E18" i="2"/>
  <c r="F17" i="2"/>
  <c r="G17" i="2"/>
  <c r="H17" i="2"/>
  <c r="I17" i="2"/>
  <c r="E17" i="2"/>
  <c r="F16" i="2"/>
  <c r="G16" i="2"/>
  <c r="H16" i="2"/>
  <c r="I16" i="2"/>
  <c r="E16" i="2"/>
  <c r="B17" i="2"/>
  <c r="B18" i="2"/>
  <c r="B16" i="2"/>
  <c r="E12" i="2"/>
  <c r="F12" i="2"/>
  <c r="G12" i="2"/>
  <c r="H12" i="2"/>
  <c r="I12" i="2"/>
  <c r="F11" i="2"/>
  <c r="G11" i="2"/>
  <c r="H11" i="2"/>
  <c r="I11" i="2"/>
  <c r="E11" i="2"/>
  <c r="E9" i="2"/>
  <c r="F10" i="2"/>
  <c r="G10" i="2"/>
  <c r="H10" i="2"/>
  <c r="I10" i="2"/>
  <c r="E10" i="2"/>
  <c r="F9" i="2"/>
  <c r="G9" i="2"/>
  <c r="H9" i="2"/>
  <c r="I9" i="2"/>
  <c r="B10" i="2"/>
  <c r="B11" i="2"/>
  <c r="B12" i="2"/>
  <c r="B9" i="2"/>
  <c r="C32" i="1"/>
  <c r="M32" i="1"/>
  <c r="L32" i="1"/>
  <c r="K32" i="1"/>
  <c r="J32" i="1"/>
  <c r="I32" i="1"/>
  <c r="H32" i="1"/>
  <c r="G32" i="1"/>
  <c r="F32" i="1"/>
  <c r="E32" i="1"/>
  <c r="D32" i="1"/>
  <c r="H11" i="4" l="1"/>
  <c r="G12" i="4"/>
  <c r="F6" i="4"/>
  <c r="F9" i="4"/>
  <c r="G9" i="4" s="1"/>
  <c r="F4" i="4"/>
  <c r="G4" i="4" s="1"/>
  <c r="E8" i="4"/>
  <c r="E10" i="4" s="1"/>
  <c r="F49" i="2"/>
  <c r="F51" i="2" s="1"/>
  <c r="G49" i="2"/>
  <c r="G51" i="2" s="1"/>
  <c r="H49" i="2"/>
  <c r="H51" i="2" s="1"/>
  <c r="I49" i="2"/>
  <c r="I51" i="2" s="1"/>
  <c r="E49" i="2"/>
  <c r="E51" i="2" s="1"/>
  <c r="G33" i="2"/>
  <c r="G35" i="2" s="1"/>
  <c r="F33" i="2"/>
  <c r="F35" i="2" s="1"/>
  <c r="H33" i="2"/>
  <c r="H35" i="2" s="1"/>
  <c r="I33" i="2"/>
  <c r="I35" i="2" s="1"/>
  <c r="E33" i="2"/>
  <c r="E35" i="2" s="1"/>
  <c r="G13" i="2"/>
  <c r="H13" i="2"/>
  <c r="I13" i="2"/>
  <c r="E13" i="2"/>
  <c r="F13" i="2"/>
  <c r="I19" i="2"/>
  <c r="H19" i="2"/>
  <c r="G19" i="2"/>
  <c r="F19" i="2"/>
  <c r="E19" i="2"/>
  <c r="H12" i="4" l="1"/>
  <c r="I11" i="4"/>
  <c r="H9" i="4"/>
  <c r="I9" i="4" s="1"/>
  <c r="G6" i="4"/>
  <c r="F8" i="4"/>
  <c r="F10" i="4" s="1"/>
  <c r="F13" i="4" s="1"/>
  <c r="I22" i="2"/>
  <c r="G22" i="2"/>
  <c r="E22" i="2"/>
  <c r="E37" i="2" s="1"/>
  <c r="E40" i="2" s="1"/>
  <c r="F64" i="2" s="1"/>
  <c r="F22" i="2"/>
  <c r="H22" i="2"/>
  <c r="I12" i="4" l="1"/>
  <c r="J11" i="4"/>
  <c r="J12" i="4" s="1"/>
  <c r="G8" i="4"/>
  <c r="G10" i="4" s="1"/>
  <c r="G13" i="4" s="1"/>
  <c r="H6" i="4"/>
  <c r="I37" i="2"/>
  <c r="I40" i="2" s="1"/>
  <c r="I47" i="2"/>
  <c r="I53" i="2" s="1"/>
  <c r="I55" i="2" s="1"/>
  <c r="I63" i="2" s="1"/>
  <c r="G37" i="2"/>
  <c r="G40" i="2" s="1"/>
  <c r="H64" i="2" s="1"/>
  <c r="G47" i="2"/>
  <c r="G53" i="2" s="1"/>
  <c r="G55" i="2" s="1"/>
  <c r="G63" i="2" s="1"/>
  <c r="F37" i="2"/>
  <c r="F40" i="2" s="1"/>
  <c r="G64" i="2" s="1"/>
  <c r="F47" i="2"/>
  <c r="F53" i="2" s="1"/>
  <c r="F55" i="2" s="1"/>
  <c r="F63" i="2" s="1"/>
  <c r="F66" i="2" s="1"/>
  <c r="H37" i="2"/>
  <c r="H40" i="2" s="1"/>
  <c r="I64" i="2" s="1"/>
  <c r="H47" i="2"/>
  <c r="H53" i="2" s="1"/>
  <c r="H55" i="2" s="1"/>
  <c r="H63" i="2" s="1"/>
  <c r="H8" i="4" l="1"/>
  <c r="H10" i="4" s="1"/>
  <c r="H13" i="4" s="1"/>
  <c r="I6" i="4"/>
  <c r="I66" i="2"/>
  <c r="G66" i="2"/>
  <c r="H66" i="2"/>
  <c r="I58" i="2"/>
  <c r="I57" i="2"/>
  <c r="I8" i="4" l="1"/>
  <c r="I10" i="4" s="1"/>
  <c r="I13" i="4" s="1"/>
  <c r="J6" i="4"/>
  <c r="J8" i="4" s="1"/>
  <c r="J10" i="4" s="1"/>
  <c r="J13" i="4" l="1"/>
  <c r="C21" i="4"/>
  <c r="C29" i="4" s="1"/>
  <c r="C30" i="4" l="1"/>
  <c r="C34" i="4" s="1"/>
  <c r="C36" i="4" s="1"/>
  <c r="C39" i="4" s="1"/>
</calcChain>
</file>

<file path=xl/sharedStrings.xml><?xml version="1.0" encoding="utf-8"?>
<sst xmlns="http://schemas.openxmlformats.org/spreadsheetml/2006/main" count="178" uniqueCount="126">
  <si>
    <t>Equity Capital</t>
  </si>
  <si>
    <t>Reserves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</si>
  <si>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</si>
  <si>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</si>
  <si>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</si>
  <si>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</si>
  <si>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</si>
  <si>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</si>
  <si>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</si>
  <si>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</si>
  <si>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</si>
  <si>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</si>
  <si>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</si>
  <si>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</si>
  <si>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</si>
  <si>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</si>
  <si>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</si>
  <si>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</si>
  <si>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</si>
  <si>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</si>
  <si>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</si>
  <si>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</si>
  <si>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</si>
  <si>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</si>
  <si>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</si>
  <si>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</si>
  <si>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 -</t>
  </si>
  <si>
    <t>Inventories</t>
  </si>
  <si>
    <t>Cash Equivalents</t>
  </si>
  <si>
    <t>Loans n Advances</t>
  </si>
  <si>
    <t>Other asset items</t>
  </si>
  <si>
    <t>Total Assets</t>
  </si>
  <si>
    <t>Particular</t>
  </si>
  <si>
    <t xml:space="preserve"> </t>
  </si>
  <si>
    <t>Net Block</t>
  </si>
  <si>
    <t xml:space="preserve">Trade receivables 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</si>
  <si>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</si>
  <si>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</si>
  <si>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</si>
  <si>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</si>
  <si>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</si>
  <si>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</si>
  <si>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 Current Assets</t>
  </si>
  <si>
    <t>Invested Capital</t>
  </si>
  <si>
    <t>Net Non Current Assets</t>
  </si>
  <si>
    <t>EBIT</t>
  </si>
  <si>
    <t>Operating Profit</t>
  </si>
  <si>
    <t>OPM %</t>
  </si>
  <si>
    <t>Interest</t>
  </si>
  <si>
    <t>Depreciation</t>
  </si>
  <si>
    <t>Profit before tax</t>
  </si>
  <si>
    <t>Tax %</t>
  </si>
  <si>
    <t>EPS in Rs</t>
  </si>
  <si>
    <t xml:space="preserve">Sales </t>
  </si>
  <si>
    <t xml:space="preserve">Expenses </t>
  </si>
  <si>
    <t xml:space="preserve">Other Income </t>
  </si>
  <si>
    <t xml:space="preserve">Net Profit </t>
  </si>
  <si>
    <t>ROIC</t>
  </si>
  <si>
    <t>Calculation of Reinvestment Rate</t>
  </si>
  <si>
    <t>Net Capex</t>
  </si>
  <si>
    <t>Cash from Operating Activity -</t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</si>
  <si>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</si>
  <si>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</si>
  <si>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</si>
  <si>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</si>
  <si>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</si>
  <si>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</si>
  <si>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</si>
  <si>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</si>
  <si>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</si>
  <si>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</si>
  <si>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</si>
  <si>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</si>
  <si>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</si>
  <si>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</si>
  <si>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</si>
  <si>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</si>
  <si>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</si>
  <si>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</si>
  <si>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</si>
  <si>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</si>
  <si>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</si>
  <si>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</si>
  <si>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</si>
  <si>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</si>
  <si>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</si>
  <si>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</si>
  <si>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</si>
  <si>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</si>
  <si>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</si>
  <si>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t>Particulars</t>
  </si>
  <si>
    <t>Change in Working Capital</t>
  </si>
  <si>
    <t>Tax</t>
  </si>
  <si>
    <t>EBIT(1-T)</t>
  </si>
  <si>
    <t>4 Year Average</t>
  </si>
  <si>
    <t>4 Year Mean</t>
  </si>
  <si>
    <t>Calculation of Growth Rate</t>
  </si>
  <si>
    <t>Intrinsic Growth Rate</t>
  </si>
  <si>
    <t>#</t>
  </si>
  <si>
    <t>Reinvestment Rate</t>
  </si>
  <si>
    <t xml:space="preserve">Calculating ROIC of Asian Paints Using Intrinsic Value </t>
  </si>
  <si>
    <t>Reinvestment</t>
  </si>
  <si>
    <t>Calculation of PV of FCFF</t>
  </si>
  <si>
    <t>Tax Rate</t>
  </si>
  <si>
    <t>Less: Reinvestment Rate</t>
  </si>
  <si>
    <t>FCFF</t>
  </si>
  <si>
    <t>Mid Year Convention</t>
  </si>
  <si>
    <t>Discounting Factor</t>
  </si>
  <si>
    <t>PV of FCFF</t>
  </si>
  <si>
    <t>Expected Growth</t>
  </si>
  <si>
    <t>Terminal Growth</t>
  </si>
  <si>
    <t>WACC</t>
  </si>
  <si>
    <t>FCFF(1+n)</t>
  </si>
  <si>
    <t>Terminal Value</t>
  </si>
  <si>
    <t>Calculation of Terminal Value</t>
  </si>
  <si>
    <t>Calculation of Equity Value</t>
  </si>
  <si>
    <t>PV of Terminal Value</t>
  </si>
  <si>
    <t>Value of Enterprise</t>
  </si>
  <si>
    <t>Add: Cash</t>
  </si>
  <si>
    <t>Less: Debt</t>
  </si>
  <si>
    <t>Value of Equity</t>
  </si>
  <si>
    <t>No.of Shares</t>
  </si>
  <si>
    <t>Equity Value per share</t>
  </si>
  <si>
    <t>Share Price</t>
  </si>
  <si>
    <t>Discount/Premium</t>
  </si>
  <si>
    <t>Calculation of Discounted Future Cashflow of Asian Paints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</si>
</sst>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;\(#,##0\)"/>
    <numFmt numFmtId="166" formatCode="0.0"/>
    <numFmt numFmtId="167" formatCode="mmm/yy&quot;A&quot;"/>
    <numFmt numFmtId="168" formatCode="mmm/yy&quot;F&quot;"/>
    <numFmt numFmtId="169" formatCode="0.00\x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3333FF"/>
      <name val="Calibri"/>
      <family val="2"/>
    </font>
    <font>
      <sz val="11"/>
      <name val="Calibri"/>
      <family val="2"/>
    </font>
    <font>
      <b/>
      <sz val="11"/>
      <color theme="0"/>
      <name val="Arial"/>
      <family val="2"/>
    </font>
    <font>
      <sz val="14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rgb="FF00206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3" fontId="0" fillId="0" borderId="0" xfId="0" applyNumberFormat="1"/>
    <xf numFmtId="17" fontId="3" fillId="0" borderId="0" xfId="0" applyNumberFormat="1" applyFont="1"/>
    <xf numFmtId="0" fontId="2" fillId="2" borderId="0" xfId="0" applyFont="1" applyFill="1"/>
    <xf numFmtId="17" fontId="2" fillId="2" borderId="0" xfId="0" applyNumberFormat="1" applyFont="1" applyFill="1"/>
    <xf numFmtId="0" fontId="0" fillId="2" borderId="0" xfId="0" applyFill="1"/>
    <xf numFmtId="3" fontId="3" fillId="0" borderId="0" xfId="0" applyNumberFormat="1" applyFont="1"/>
    <xf numFmtId="0" fontId="3" fillId="0" borderId="1" xfId="0" applyFont="1" applyBorder="1"/>
    <xf numFmtId="3" fontId="3" fillId="0" borderId="1" xfId="0" applyNumberFormat="1" applyFont="1" applyBorder="1"/>
    <xf numFmtId="0" fontId="2" fillId="3" borderId="0" xfId="0" applyFont="1" applyFill="1"/>
    <xf numFmtId="17" fontId="2" fillId="3" borderId="0" xfId="0" applyNumberFormat="1" applyFont="1" applyFill="1"/>
    <xf numFmtId="0" fontId="0" fillId="0" borderId="2" xfId="0" applyBorder="1"/>
    <xf numFmtId="0" fontId="0" fillId="0" borderId="1" xfId="0" applyBorder="1"/>
    <xf numFmtId="3" fontId="0" fillId="0" borderId="1" xfId="0" applyNumberFormat="1" applyBorder="1"/>
    <xf numFmtId="0" fontId="3" fillId="0" borderId="3" xfId="0" applyFont="1" applyBorder="1"/>
    <xf numFmtId="0" fontId="0" fillId="0" borderId="3" xfId="0" applyBorder="1"/>
    <xf numFmtId="0" fontId="3" fillId="0" borderId="2" xfId="0" applyFont="1" applyBorder="1"/>
    <xf numFmtId="0" fontId="3" fillId="0" borderId="4" xfId="0" applyFont="1" applyBorder="1"/>
    <xf numFmtId="9" fontId="0" fillId="0" borderId="0" xfId="1" applyFont="1"/>
    <xf numFmtId="0" fontId="0" fillId="3" borderId="0" xfId="0" applyFill="1"/>
    <xf numFmtId="0" fontId="4" fillId="3" borderId="0" xfId="0" applyFont="1" applyFill="1"/>
    <xf numFmtId="0" fontId="3" fillId="0" borderId="5" xfId="0" applyFont="1" applyBorder="1"/>
    <xf numFmtId="0" fontId="0" fillId="0" borderId="5" xfId="0" applyBorder="1"/>
    <xf numFmtId="164" fontId="0" fillId="0" borderId="0" xfId="0" applyNumberFormat="1"/>
    <xf numFmtId="164" fontId="3" fillId="0" borderId="2" xfId="0" applyNumberFormat="1" applyFont="1" applyBorder="1"/>
    <xf numFmtId="0" fontId="0" fillId="0" borderId="4" xfId="0" applyBorder="1"/>
    <xf numFmtId="164" fontId="3" fillId="0" borderId="4" xfId="0" applyNumberFormat="1" applyFont="1" applyBorder="1"/>
    <xf numFmtId="0" fontId="3" fillId="0" borderId="6" xfId="0" applyFont="1" applyBorder="1"/>
    <xf numFmtId="0" fontId="0" fillId="0" borderId="6" xfId="0" applyBorder="1"/>
    <xf numFmtId="165" fontId="0" fillId="0" borderId="2" xfId="0" applyNumberFormat="1" applyBorder="1"/>
    <xf numFmtId="9" fontId="0" fillId="0" borderId="0" xfId="0" applyNumberFormat="1"/>
    <xf numFmtId="9" fontId="3" fillId="0" borderId="0" xfId="0" applyNumberFormat="1" applyFont="1"/>
    <xf numFmtId="10" fontId="0" fillId="0" borderId="0" xfId="1" applyNumberFormat="1" applyFont="1"/>
    <xf numFmtId="0" fontId="3" fillId="0" borderId="7" xfId="0" applyFont="1" applyBorder="1"/>
    <xf numFmtId="0" fontId="0" fillId="0" borderId="7" xfId="0" applyBorder="1"/>
    <xf numFmtId="10" fontId="3" fillId="0" borderId="7" xfId="1" applyNumberFormat="1" applyFont="1" applyBorder="1"/>
    <xf numFmtId="10" fontId="0" fillId="0" borderId="0" xfId="0" applyNumberFormat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10" fontId="0" fillId="0" borderId="9" xfId="0" applyNumberFormat="1" applyBorder="1"/>
    <xf numFmtId="0" fontId="0" fillId="0" borderId="10" xfId="0" applyBorder="1"/>
    <xf numFmtId="10" fontId="0" fillId="0" borderId="10" xfId="0" applyNumberFormat="1" applyBorder="1"/>
    <xf numFmtId="10" fontId="5" fillId="0" borderId="2" xfId="0" applyNumberFormat="1" applyFont="1" applyBorder="1"/>
    <xf numFmtId="166" fontId="6" fillId="0" borderId="2" xfId="0" applyNumberFormat="1" applyFont="1" applyBorder="1"/>
    <xf numFmtId="0" fontId="0" fillId="0" borderId="11" xfId="0" applyBorder="1"/>
    <xf numFmtId="164" fontId="0" fillId="0" borderId="11" xfId="0" applyNumberFormat="1" applyBorder="1"/>
    <xf numFmtId="164" fontId="0" fillId="0" borderId="6" xfId="0" applyNumberFormat="1" applyBorder="1"/>
    <xf numFmtId="10" fontId="3" fillId="0" borderId="7" xfId="0" applyNumberFormat="1" applyFont="1" applyBorder="1"/>
    <xf numFmtId="0" fontId="3" fillId="0" borderId="12" xfId="0" applyFont="1" applyBorder="1"/>
    <xf numFmtId="0" fontId="0" fillId="0" borderId="12" xfId="0" applyBorder="1"/>
    <xf numFmtId="164" fontId="3" fillId="0" borderId="12" xfId="0" applyNumberFormat="1" applyFont="1" applyBorder="1"/>
    <xf numFmtId="9" fontId="0" fillId="2" borderId="0" xfId="1" applyFont="1" applyFill="1"/>
    <xf numFmtId="9" fontId="3" fillId="0" borderId="7" xfId="0" applyNumberFormat="1" applyFont="1" applyBorder="1"/>
    <xf numFmtId="167" fontId="2" fillId="3" borderId="0" xfId="0" applyNumberFormat="1" applyFont="1" applyFill="1"/>
    <xf numFmtId="168" fontId="2" fillId="3" borderId="0" xfId="0" applyNumberFormat="1" applyFont="1" applyFill="1"/>
    <xf numFmtId="17" fontId="7" fillId="4" borderId="0" xfId="0" applyNumberFormat="1" applyFont="1" applyFill="1" applyAlignment="1">
      <alignment horizontal="right" vertical="center" wrapText="1"/>
    </xf>
    <xf numFmtId="10" fontId="5" fillId="5" borderId="0" xfId="0" applyNumberFormat="1" applyFont="1" applyFill="1"/>
    <xf numFmtId="0" fontId="5" fillId="0" borderId="0" xfId="0" applyFont="1"/>
    <xf numFmtId="10" fontId="0" fillId="2" borderId="0" xfId="0" applyNumberFormat="1" applyFill="1"/>
    <xf numFmtId="169" fontId="0" fillId="0" borderId="0" xfId="1" applyNumberFormat="1" applyFont="1"/>
    <xf numFmtId="10" fontId="5" fillId="0" borderId="1" xfId="0" applyNumberFormat="1" applyFont="1" applyBorder="1"/>
    <xf numFmtId="10" fontId="0" fillId="0" borderId="1" xfId="0" applyNumberFormat="1" applyBorder="1"/>
    <xf numFmtId="0" fontId="5" fillId="0" borderId="1" xfId="0" applyFont="1" applyBorder="1"/>
    <xf numFmtId="2" fontId="0" fillId="0" borderId="1" xfId="0" applyNumberFormat="1" applyBorder="1"/>
    <xf numFmtId="0" fontId="0" fillId="5" borderId="0" xfId="0" applyFill="1"/>
    <xf numFmtId="10" fontId="5" fillId="6" borderId="1" xfId="0" applyNumberFormat="1" applyFont="1" applyFill="1" applyBorder="1"/>
    <xf numFmtId="10" fontId="0" fillId="6" borderId="1" xfId="0" applyNumberFormat="1" applyFill="1" applyBorder="1"/>
    <xf numFmtId="0" fontId="0" fillId="6" borderId="1" xfId="0" applyFill="1" applyBorder="1"/>
    <xf numFmtId="0" fontId="0" fillId="0" borderId="0" xfId="0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165" fontId="0" fillId="0" borderId="7" xfId="0" applyNumberFormat="1" applyBorder="1"/>
    <xf numFmtId="165" fontId="3" fillId="0" borderId="7" xfId="0" applyNumberFormat="1" applyFont="1" applyBorder="1"/>
    <xf numFmtId="165" fontId="0" fillId="0" borderId="0" xfId="0" applyNumberFormat="1" applyBorder="1"/>
    <xf numFmtId="165" fontId="5" fillId="0" borderId="7" xfId="0" applyNumberFormat="1" applyFont="1" applyBorder="1"/>
    <xf numFmtId="0" fontId="3" fillId="6" borderId="7" xfId="0" applyFont="1" applyFill="1" applyBorder="1"/>
    <xf numFmtId="165" fontId="3" fillId="0" borderId="4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7E2A-F59D-4F07-9A6D-446DE47D5DFC}">
  <dimension ref="B2:N77"/>
  <sheetViews>
    <sheetView showGridLines="0" workbookViewId="0">
      <pane ySplit="5" topLeftCell="A46" activePane="bottomLeft" state="frozen"/>
      <selection pane="bottomLeft" activeCell="C75" sqref="C75"/>
    </sheetView>
  </sheetViews>
  <sheetFormatPr defaultRowHeight="14.25" x14ac:dyDescent="0.45"/>
  <cols>
    <col min="1" max="1" width="1.9296875" customWidth="1"/>
    <col min="2" max="2" width="22.46484375" bestFit="1" customWidth="1"/>
  </cols>
  <sheetData>
    <row r="2" spans="2:14" x14ac:dyDescent="0.45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2:14" x14ac:dyDescent="0.45">
      <c r="B3" s="73" t="s">
        <v>100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5" spans="2:14" x14ac:dyDescent="0.45">
      <c r="B5" s="10" t="s">
        <v>32</v>
      </c>
      <c r="C5" s="11">
        <v>42064</v>
      </c>
      <c r="D5" s="11">
        <v>42430</v>
      </c>
      <c r="E5" s="11">
        <v>42795</v>
      </c>
      <c r="F5" s="11">
        <v>43160</v>
      </c>
      <c r="G5" s="11">
        <v>43525</v>
      </c>
      <c r="H5" s="11">
        <v>43891</v>
      </c>
      <c r="I5" s="11">
        <v>44256</v>
      </c>
      <c r="J5" s="11">
        <v>44621</v>
      </c>
      <c r="K5" s="11">
        <v>44986</v>
      </c>
      <c r="L5" s="11">
        <v>45352</v>
      </c>
      <c r="M5" s="11">
        <v>45717</v>
      </c>
      <c r="N5" s="11">
        <v>46082</v>
      </c>
    </row>
    <row r="6" spans="2:14" s="6" customFormat="1" ht="14.65" thickBot="1" x14ac:dyDescent="0.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4" ht="14.65" thickBot="1" x14ac:dyDescent="0.5">
      <c r="B7" s="1" t="s">
        <v>0</v>
      </c>
      <c r="C7" s="13">
        <v>96</v>
      </c>
      <c r="D7" s="13">
        <v>96</v>
      </c>
      <c r="E7" s="13">
        <v>96</v>
      </c>
      <c r="F7" s="13">
        <v>96</v>
      </c>
      <c r="G7" s="13">
        <v>96</v>
      </c>
      <c r="H7" s="13">
        <v>96</v>
      </c>
      <c r="I7" s="13">
        <v>96</v>
      </c>
      <c r="J7" s="13">
        <v>96</v>
      </c>
      <c r="K7" s="13">
        <v>96</v>
      </c>
      <c r="L7" s="13">
        <v>96</v>
      </c>
      <c r="M7" s="13">
        <v>96</v>
      </c>
      <c r="N7" s="13">
        <v>96</v>
      </c>
    </row>
    <row r="8" spans="2:14" ht="14.65" thickBot="1" x14ac:dyDescent="0.5">
      <c r="B8" s="1" t="s">
        <v>1</v>
      </c>
      <c r="C8" s="13">
        <v>4646</v>
      </c>
      <c r="D8" s="13">
        <v>6429</v>
      </c>
      <c r="E8" s="13">
        <v>7508</v>
      </c>
      <c r="F8" s="13">
        <v>8314</v>
      </c>
      <c r="G8" s="13">
        <v>9375</v>
      </c>
      <c r="H8" s="13">
        <v>10034</v>
      </c>
      <c r="I8" s="13">
        <v>12710</v>
      </c>
      <c r="J8" s="13">
        <v>13716</v>
      </c>
      <c r="K8" s="13">
        <v>15896</v>
      </c>
      <c r="L8" s="13">
        <v>18632</v>
      </c>
      <c r="M8" s="13">
        <v>19304</v>
      </c>
      <c r="N8" s="13">
        <v>21276</v>
      </c>
    </row>
    <row r="9" spans="2:14" ht="14.65" thickBot="1" x14ac:dyDescent="0.5">
      <c r="B9" s="1" t="s">
        <v>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2:14" ht="14.65" thickBot="1" x14ac:dyDescent="0.5">
      <c r="B10" t="s">
        <v>3</v>
      </c>
      <c r="C10" s="13">
        <v>78</v>
      </c>
      <c r="D10" s="13">
        <v>73</v>
      </c>
      <c r="E10" s="13">
        <v>41</v>
      </c>
      <c r="F10" s="13">
        <v>28</v>
      </c>
      <c r="G10" s="13">
        <v>19</v>
      </c>
      <c r="H10" s="13">
        <v>19</v>
      </c>
      <c r="I10" s="13">
        <v>15</v>
      </c>
      <c r="J10" s="13">
        <v>45</v>
      </c>
      <c r="K10" s="13">
        <v>76</v>
      </c>
      <c r="L10" s="13">
        <v>54</v>
      </c>
      <c r="M10" s="13">
        <v>260</v>
      </c>
      <c r="N10" s="13">
        <v>1247</v>
      </c>
    </row>
    <row r="11" spans="2:14" ht="14.65" thickBot="1" x14ac:dyDescent="0.5">
      <c r="B11" t="s">
        <v>4</v>
      </c>
      <c r="C11" s="13">
        <v>332</v>
      </c>
      <c r="D11" s="13">
        <v>231</v>
      </c>
      <c r="E11" s="13">
        <v>504</v>
      </c>
      <c r="F11" s="13">
        <v>492</v>
      </c>
      <c r="G11" s="13">
        <v>597</v>
      </c>
      <c r="H11" s="13">
        <v>321</v>
      </c>
      <c r="I11" s="13">
        <v>334</v>
      </c>
      <c r="J11" s="13">
        <v>731</v>
      </c>
      <c r="K11" s="13">
        <v>896</v>
      </c>
      <c r="L11" s="13">
        <v>1053</v>
      </c>
      <c r="M11" s="13">
        <v>604</v>
      </c>
      <c r="N11" s="13">
        <v>1046</v>
      </c>
    </row>
    <row r="12" spans="2:14" ht="14.65" thickBot="1" x14ac:dyDescent="0.5">
      <c r="B12" t="s">
        <v>5</v>
      </c>
      <c r="C12" s="13">
        <v>0</v>
      </c>
      <c r="D12" s="13">
        <v>0</v>
      </c>
      <c r="E12" s="13">
        <v>0</v>
      </c>
      <c r="F12" s="13">
        <v>0</v>
      </c>
      <c r="G12" s="13">
        <v>693</v>
      </c>
      <c r="H12" s="13">
        <v>764</v>
      </c>
      <c r="I12" s="13">
        <v>745</v>
      </c>
      <c r="J12" s="13">
        <v>811</v>
      </c>
      <c r="K12" s="13">
        <v>960</v>
      </c>
      <c r="L12" s="13">
        <v>1367</v>
      </c>
      <c r="M12" s="13">
        <v>1427</v>
      </c>
      <c r="N12" s="13">
        <v>1636</v>
      </c>
    </row>
    <row r="13" spans="2:14" ht="14.65" thickBot="1" x14ac:dyDescent="0.5">
      <c r="B13" t="s">
        <v>6</v>
      </c>
      <c r="C13" s="13">
        <v>8</v>
      </c>
      <c r="D13" s="13">
        <v>20</v>
      </c>
      <c r="E13" s="13">
        <v>15</v>
      </c>
      <c r="F13" s="13">
        <v>13</v>
      </c>
      <c r="G13" s="13">
        <v>11</v>
      </c>
      <c r="H13" s="13">
        <v>15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/>
    </row>
    <row r="14" spans="2:14" ht="14.65" thickBot="1" x14ac:dyDescent="0.5">
      <c r="B14" s="1" t="s">
        <v>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 ht="14.65" thickBot="1" x14ac:dyDescent="0.5">
      <c r="B15" t="s">
        <v>8</v>
      </c>
      <c r="C15" s="13">
        <v>264</v>
      </c>
      <c r="D15" s="13">
        <v>384</v>
      </c>
      <c r="E15" s="13">
        <v>375</v>
      </c>
      <c r="F15" s="13">
        <v>328</v>
      </c>
      <c r="G15" s="13">
        <v>361</v>
      </c>
      <c r="H15" s="13">
        <v>404</v>
      </c>
      <c r="I15" s="13">
        <v>423</v>
      </c>
      <c r="J15" s="13">
        <v>388</v>
      </c>
      <c r="K15" s="13">
        <v>454</v>
      </c>
      <c r="L15" s="13">
        <v>695</v>
      </c>
      <c r="M15" s="13">
        <v>659</v>
      </c>
      <c r="N15" s="13">
        <v>643</v>
      </c>
    </row>
    <row r="16" spans="2:14" ht="14.65" thickBot="1" x14ac:dyDescent="0.5">
      <c r="B16" t="s">
        <v>9</v>
      </c>
      <c r="C16" s="13">
        <v>1549</v>
      </c>
      <c r="D16" s="13">
        <v>1565</v>
      </c>
      <c r="E16" s="13">
        <v>1923</v>
      </c>
      <c r="F16" s="13">
        <v>2160</v>
      </c>
      <c r="G16" s="13">
        <v>2394</v>
      </c>
      <c r="H16" s="13">
        <v>2137</v>
      </c>
      <c r="I16" s="13">
        <v>3379</v>
      </c>
      <c r="J16" s="13">
        <v>4164</v>
      </c>
      <c r="K16" s="13">
        <v>3635</v>
      </c>
      <c r="L16" s="13">
        <v>3831</v>
      </c>
      <c r="M16" s="13">
        <v>3848</v>
      </c>
      <c r="N16" s="13">
        <v>3863</v>
      </c>
    </row>
    <row r="17" spans="2:14" ht="14.65" thickBot="1" x14ac:dyDescent="0.5">
      <c r="B17" t="s">
        <v>10</v>
      </c>
      <c r="C17" s="13">
        <v>5</v>
      </c>
      <c r="D17" s="13">
        <v>12</v>
      </c>
      <c r="E17" s="13">
        <v>17</v>
      </c>
      <c r="F17" s="13">
        <v>16</v>
      </c>
      <c r="G17" s="13">
        <v>13</v>
      </c>
      <c r="H17" s="13">
        <v>29</v>
      </c>
      <c r="I17" s="13">
        <v>41</v>
      </c>
      <c r="J17" s="13">
        <v>76</v>
      </c>
      <c r="K17" s="13">
        <v>108</v>
      </c>
      <c r="L17" s="13">
        <v>154</v>
      </c>
      <c r="M17" s="13">
        <v>173</v>
      </c>
      <c r="N17" s="13"/>
    </row>
    <row r="18" spans="2:14" ht="14.65" thickBot="1" x14ac:dyDescent="0.5">
      <c r="B18" t="s">
        <v>11</v>
      </c>
      <c r="C18">
        <v>1937</v>
      </c>
      <c r="D18">
        <v>1750</v>
      </c>
      <c r="E18">
        <v>1925</v>
      </c>
      <c r="F18">
        <v>2316</v>
      </c>
      <c r="G18">
        <v>2690</v>
      </c>
      <c r="H18">
        <v>2320</v>
      </c>
      <c r="I18">
        <v>2613</v>
      </c>
      <c r="J18">
        <v>2932</v>
      </c>
      <c r="K18">
        <v>3657</v>
      </c>
      <c r="L18">
        <v>4017</v>
      </c>
      <c r="M18">
        <v>3985</v>
      </c>
      <c r="N18">
        <v>4728</v>
      </c>
    </row>
    <row r="19" spans="2:14" ht="14.65" thickBot="1" x14ac:dyDescent="0.5">
      <c r="B19" s="8" t="s">
        <v>12</v>
      </c>
      <c r="C19" s="8">
        <v>8914</v>
      </c>
      <c r="D19" s="8">
        <v>10559</v>
      </c>
      <c r="E19" s="8">
        <v>12405</v>
      </c>
      <c r="F19" s="8">
        <v>13763</v>
      </c>
      <c r="G19" s="8">
        <v>16249</v>
      </c>
      <c r="H19" s="8">
        <v>16138</v>
      </c>
      <c r="I19" s="8">
        <v>20355</v>
      </c>
      <c r="J19" s="8">
        <v>22958</v>
      </c>
      <c r="K19" s="8">
        <v>25779</v>
      </c>
      <c r="L19" s="8">
        <v>29901</v>
      </c>
      <c r="M19" s="8">
        <v>30355</v>
      </c>
      <c r="N19" s="8">
        <v>34519</v>
      </c>
    </row>
    <row r="20" spans="2:14" x14ac:dyDescent="0.45"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2:14" ht="14.65" thickBot="1" x14ac:dyDescent="0.5">
      <c r="B21" s="1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ht="14.65" thickBot="1" x14ac:dyDescent="0.5">
      <c r="B22" s="13" t="s">
        <v>14</v>
      </c>
      <c r="C22" s="13">
        <v>251</v>
      </c>
      <c r="D22" s="13">
        <v>429</v>
      </c>
      <c r="E22" s="13">
        <v>408</v>
      </c>
      <c r="F22" s="13">
        <v>586</v>
      </c>
      <c r="G22" s="13">
        <v>605</v>
      </c>
      <c r="H22" s="13">
        <v>640</v>
      </c>
      <c r="I22" s="13">
        <v>644</v>
      </c>
      <c r="J22" s="13">
        <v>644</v>
      </c>
      <c r="K22" s="13">
        <v>804</v>
      </c>
      <c r="L22" s="13">
        <v>1126</v>
      </c>
      <c r="M22" s="13">
        <v>1050</v>
      </c>
      <c r="N22" s="13"/>
    </row>
    <row r="23" spans="2:14" ht="14.65" thickBot="1" x14ac:dyDescent="0.5">
      <c r="B23" s="13" t="s">
        <v>15</v>
      </c>
      <c r="C23" s="13">
        <v>962</v>
      </c>
      <c r="D23" s="13">
        <v>923</v>
      </c>
      <c r="E23" s="13">
        <v>931</v>
      </c>
      <c r="F23" s="13">
        <v>957</v>
      </c>
      <c r="G23" s="13">
        <v>2402</v>
      </c>
      <c r="H23" s="13">
        <v>2257</v>
      </c>
      <c r="I23" s="13">
        <v>2249</v>
      </c>
      <c r="J23" s="13">
        <v>2325</v>
      </c>
      <c r="K23" s="13">
        <v>2883</v>
      </c>
      <c r="L23" s="13">
        <v>3390</v>
      </c>
      <c r="M23" s="13">
        <v>4136</v>
      </c>
      <c r="N23" s="13"/>
    </row>
    <row r="24" spans="2:14" ht="14.65" thickBot="1" x14ac:dyDescent="0.5">
      <c r="B24" s="13" t="s">
        <v>16</v>
      </c>
      <c r="C24" s="13">
        <v>2132</v>
      </c>
      <c r="D24" s="13">
        <v>1793</v>
      </c>
      <c r="E24" s="13">
        <v>1980</v>
      </c>
      <c r="F24" s="13">
        <v>2157</v>
      </c>
      <c r="G24" s="13">
        <v>4006</v>
      </c>
      <c r="H24" s="13">
        <v>4208</v>
      </c>
      <c r="I24" s="13">
        <v>4340</v>
      </c>
      <c r="J24" s="13">
        <v>4531</v>
      </c>
      <c r="K24" s="13">
        <v>4825</v>
      </c>
      <c r="L24" s="13">
        <v>5422</v>
      </c>
      <c r="M24" s="13">
        <v>7576</v>
      </c>
      <c r="N24" s="13"/>
    </row>
    <row r="25" spans="2:14" ht="14.65" thickBot="1" x14ac:dyDescent="0.5">
      <c r="B25" s="13" t="s">
        <v>17</v>
      </c>
      <c r="C25" s="13">
        <v>171</v>
      </c>
      <c r="D25" s="13">
        <v>97</v>
      </c>
      <c r="E25" s="13">
        <v>119</v>
      </c>
      <c r="F25" s="13">
        <v>200</v>
      </c>
      <c r="G25" s="13">
        <v>221</v>
      </c>
      <c r="H25" s="13">
        <v>241</v>
      </c>
      <c r="I25" s="13">
        <v>243</v>
      </c>
      <c r="J25" s="13">
        <v>253</v>
      </c>
      <c r="K25" s="13">
        <v>270</v>
      </c>
      <c r="L25" s="13">
        <v>298</v>
      </c>
      <c r="M25" s="13">
        <v>325</v>
      </c>
      <c r="N25" s="13"/>
    </row>
    <row r="26" spans="2:14" ht="14.65" thickBot="1" x14ac:dyDescent="0.5">
      <c r="B26" s="13" t="s">
        <v>18</v>
      </c>
      <c r="C26" s="13">
        <v>83</v>
      </c>
      <c r="D26" s="13">
        <v>49</v>
      </c>
      <c r="E26" s="13">
        <v>59</v>
      </c>
      <c r="F26" s="13">
        <v>72</v>
      </c>
      <c r="G26" s="13">
        <v>88</v>
      </c>
      <c r="H26" s="13">
        <v>94</v>
      </c>
      <c r="I26" s="13">
        <v>99</v>
      </c>
      <c r="J26" s="13">
        <v>113</v>
      </c>
      <c r="K26" s="13">
        <v>146</v>
      </c>
      <c r="L26" s="13">
        <v>175</v>
      </c>
      <c r="M26" s="13">
        <v>203</v>
      </c>
      <c r="N26" s="13"/>
    </row>
    <row r="27" spans="2:14" ht="14.65" thickBot="1" x14ac:dyDescent="0.5">
      <c r="B27" s="13" t="s">
        <v>19</v>
      </c>
      <c r="C27" s="13">
        <v>18</v>
      </c>
      <c r="D27" s="13">
        <v>11</v>
      </c>
      <c r="E27" s="13">
        <v>14</v>
      </c>
      <c r="F27" s="13">
        <v>27</v>
      </c>
      <c r="G27" s="13">
        <v>47</v>
      </c>
      <c r="H27" s="13">
        <v>43</v>
      </c>
      <c r="I27" s="13">
        <v>38</v>
      </c>
      <c r="J27" s="13">
        <v>32</v>
      </c>
      <c r="K27" s="13">
        <v>36</v>
      </c>
      <c r="L27" s="13">
        <v>40</v>
      </c>
      <c r="M27" s="13">
        <v>39</v>
      </c>
      <c r="N27" s="13"/>
    </row>
    <row r="28" spans="2:14" ht="14.65" thickBot="1" x14ac:dyDescent="0.5">
      <c r="B28" s="13" t="s">
        <v>20</v>
      </c>
      <c r="C28" s="13">
        <v>351</v>
      </c>
      <c r="D28" s="13">
        <v>339</v>
      </c>
      <c r="E28" s="13">
        <v>276</v>
      </c>
      <c r="F28" s="13">
        <v>468</v>
      </c>
      <c r="G28" s="13">
        <v>512</v>
      </c>
      <c r="H28" s="13">
        <v>505</v>
      </c>
      <c r="I28" s="13">
        <v>476</v>
      </c>
      <c r="J28" s="13">
        <v>345</v>
      </c>
      <c r="K28" s="13">
        <v>422</v>
      </c>
      <c r="L28" s="13">
        <v>850</v>
      </c>
      <c r="M28" s="13">
        <v>827</v>
      </c>
      <c r="N28" s="13">
        <v>475</v>
      </c>
    </row>
    <row r="29" spans="2:14" ht="14.65" thickBot="1" x14ac:dyDescent="0.5">
      <c r="B29" s="13" t="s">
        <v>21</v>
      </c>
      <c r="C29" s="13">
        <v>145</v>
      </c>
      <c r="D29" s="13">
        <v>103</v>
      </c>
      <c r="E29" s="13">
        <v>128</v>
      </c>
      <c r="F29" s="13">
        <v>238</v>
      </c>
      <c r="G29" s="13">
        <v>261</v>
      </c>
      <c r="H29" s="13">
        <v>293</v>
      </c>
      <c r="I29" s="13">
        <v>302</v>
      </c>
      <c r="J29" s="13">
        <v>294</v>
      </c>
      <c r="K29" s="13">
        <v>289</v>
      </c>
      <c r="L29" s="13">
        <v>321</v>
      </c>
      <c r="M29" s="13">
        <v>328</v>
      </c>
      <c r="N29" s="13"/>
    </row>
    <row r="30" spans="2:14" ht="14.65" thickBot="1" x14ac:dyDescent="0.5">
      <c r="B30" s="34" t="s">
        <v>22</v>
      </c>
      <c r="C30" s="34">
        <v>4112</v>
      </c>
      <c r="D30" s="34">
        <v>3744</v>
      </c>
      <c r="E30" s="34">
        <v>3914</v>
      </c>
      <c r="F30" s="34">
        <v>4705</v>
      </c>
      <c r="G30" s="34">
        <v>8141</v>
      </c>
      <c r="H30" s="34">
        <v>8282</v>
      </c>
      <c r="I30" s="34">
        <v>8392</v>
      </c>
      <c r="J30" s="34">
        <v>8538</v>
      </c>
      <c r="K30" s="34">
        <v>9676</v>
      </c>
      <c r="L30" s="34">
        <v>11622</v>
      </c>
      <c r="M30" s="34">
        <v>14484</v>
      </c>
      <c r="N30" s="35"/>
    </row>
    <row r="31" spans="2:14" ht="15" thickTop="1" thickBot="1" x14ac:dyDescent="0.5">
      <c r="B31" s="1" t="s">
        <v>23</v>
      </c>
      <c r="C31" s="1">
        <v>1452</v>
      </c>
      <c r="D31" s="1">
        <v>327</v>
      </c>
      <c r="E31" s="1">
        <v>610</v>
      </c>
      <c r="F31" s="1">
        <v>973</v>
      </c>
      <c r="G31" s="1">
        <v>1644</v>
      </c>
      <c r="H31" s="1">
        <v>2010</v>
      </c>
      <c r="I31" s="1">
        <v>2533</v>
      </c>
      <c r="J31" s="1">
        <v>3019</v>
      </c>
      <c r="K31" s="1">
        <v>3905</v>
      </c>
      <c r="L31" s="1">
        <v>4475</v>
      </c>
      <c r="M31" s="1">
        <v>5264</v>
      </c>
    </row>
    <row r="32" spans="2:14" x14ac:dyDescent="0.45">
      <c r="B32" s="15" t="s">
        <v>34</v>
      </c>
      <c r="C32" s="15">
        <f>SUM(C30-C31)</f>
        <v>2660</v>
      </c>
      <c r="D32" s="15">
        <f t="shared" ref="D32:M32" si="0">SUM(D30-D31)</f>
        <v>3417</v>
      </c>
      <c r="E32" s="15">
        <f t="shared" si="0"/>
        <v>3304</v>
      </c>
      <c r="F32" s="15">
        <f t="shared" si="0"/>
        <v>3732</v>
      </c>
      <c r="G32" s="15">
        <f t="shared" si="0"/>
        <v>6497</v>
      </c>
      <c r="H32" s="15">
        <f t="shared" si="0"/>
        <v>6272</v>
      </c>
      <c r="I32" s="15">
        <f t="shared" si="0"/>
        <v>5859</v>
      </c>
      <c r="J32" s="15">
        <f t="shared" si="0"/>
        <v>5519</v>
      </c>
      <c r="K32" s="15">
        <f t="shared" si="0"/>
        <v>5771</v>
      </c>
      <c r="L32" s="15">
        <f t="shared" si="0"/>
        <v>7147</v>
      </c>
      <c r="M32" s="15">
        <f t="shared" si="0"/>
        <v>9220</v>
      </c>
      <c r="N32" s="16"/>
    </row>
    <row r="33" spans="2:14" ht="14.65" thickBot="1" x14ac:dyDescent="0.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4" ht="14.65" thickBot="1" x14ac:dyDescent="0.5">
      <c r="B34" s="1" t="s">
        <v>24</v>
      </c>
      <c r="C34" s="17">
        <v>196</v>
      </c>
      <c r="D34" s="17">
        <v>107</v>
      </c>
      <c r="E34" s="17">
        <v>258</v>
      </c>
      <c r="F34" s="17">
        <v>1405</v>
      </c>
      <c r="G34" s="17">
        <v>210</v>
      </c>
      <c r="H34" s="17">
        <v>140</v>
      </c>
      <c r="I34" s="17">
        <v>183</v>
      </c>
      <c r="J34" s="17">
        <v>426</v>
      </c>
      <c r="K34" s="17">
        <v>1020</v>
      </c>
      <c r="L34" s="17">
        <v>2698</v>
      </c>
      <c r="M34" s="17">
        <v>1254</v>
      </c>
      <c r="N34" s="17">
        <v>1849</v>
      </c>
    </row>
    <row r="35" spans="2:14" ht="14.65" thickBot="1" x14ac:dyDescent="0.5">
      <c r="B35" s="1" t="s">
        <v>25</v>
      </c>
      <c r="C35" s="17">
        <v>1588</v>
      </c>
      <c r="D35" s="17">
        <v>2712</v>
      </c>
      <c r="E35" s="17">
        <v>2652</v>
      </c>
      <c r="F35" s="17">
        <v>2141</v>
      </c>
      <c r="G35" s="17">
        <v>2569</v>
      </c>
      <c r="H35" s="17">
        <v>2019</v>
      </c>
      <c r="I35" s="17">
        <v>4737</v>
      </c>
      <c r="J35" s="17">
        <v>3248</v>
      </c>
      <c r="K35" s="17">
        <v>4262</v>
      </c>
      <c r="L35" s="17">
        <v>4588</v>
      </c>
      <c r="M35" s="17">
        <v>4725</v>
      </c>
      <c r="N35" s="17">
        <v>7062</v>
      </c>
    </row>
    <row r="36" spans="2:14" x14ac:dyDescent="0.4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4.65" thickBot="1" x14ac:dyDescent="0.5">
      <c r="B37" s="1" t="s">
        <v>26</v>
      </c>
    </row>
    <row r="38" spans="2:14" ht="14.65" thickBot="1" x14ac:dyDescent="0.5">
      <c r="B38" t="s">
        <v>27</v>
      </c>
      <c r="C38" s="12">
        <v>2259</v>
      </c>
      <c r="D38" s="12">
        <v>1998</v>
      </c>
      <c r="E38" s="12">
        <v>2627</v>
      </c>
      <c r="F38" s="12">
        <v>2658</v>
      </c>
      <c r="G38" s="12">
        <v>3150</v>
      </c>
      <c r="H38" s="12">
        <v>3390</v>
      </c>
      <c r="I38" s="12">
        <v>3799</v>
      </c>
      <c r="J38" s="12">
        <v>6153</v>
      </c>
      <c r="K38" s="12">
        <v>6211</v>
      </c>
      <c r="L38" s="12">
        <v>5923</v>
      </c>
      <c r="M38" s="12">
        <v>6719</v>
      </c>
      <c r="N38" s="12">
        <v>5744</v>
      </c>
    </row>
    <row r="39" spans="2:14" ht="14.65" thickBot="1" x14ac:dyDescent="0.5">
      <c r="B39" t="s">
        <v>35</v>
      </c>
      <c r="C39" s="12">
        <v>1182</v>
      </c>
      <c r="D39" s="12">
        <v>1187</v>
      </c>
      <c r="E39" s="12">
        <v>1447</v>
      </c>
      <c r="F39" s="12">
        <v>1731</v>
      </c>
      <c r="G39" s="12">
        <v>1907</v>
      </c>
      <c r="H39" s="12">
        <v>1795</v>
      </c>
      <c r="I39" s="12">
        <v>2602</v>
      </c>
      <c r="J39" s="12">
        <v>3871</v>
      </c>
      <c r="K39" s="12">
        <v>4637</v>
      </c>
      <c r="L39" s="12">
        <v>4889</v>
      </c>
      <c r="M39" s="12">
        <v>4314</v>
      </c>
      <c r="N39" s="12">
        <v>4462</v>
      </c>
    </row>
    <row r="40" spans="2:14" ht="14.65" thickBot="1" x14ac:dyDescent="0.5">
      <c r="B40" t="s">
        <v>28</v>
      </c>
      <c r="C40" s="12">
        <v>204</v>
      </c>
      <c r="D40" s="12">
        <v>424</v>
      </c>
      <c r="E40" s="12">
        <v>801</v>
      </c>
      <c r="F40" s="12">
        <v>405</v>
      </c>
      <c r="G40" s="12">
        <v>445</v>
      </c>
      <c r="H40" s="12">
        <v>783</v>
      </c>
      <c r="I40" s="12">
        <v>611</v>
      </c>
      <c r="J40" s="12">
        <v>864</v>
      </c>
      <c r="K40" s="12">
        <v>844</v>
      </c>
      <c r="L40" s="12">
        <v>1084</v>
      </c>
      <c r="M40" s="12">
        <v>782</v>
      </c>
      <c r="N40" s="12">
        <v>1074</v>
      </c>
    </row>
    <row r="41" spans="2:14" ht="14.65" thickBot="1" x14ac:dyDescent="0.5">
      <c r="B41" t="s">
        <v>29</v>
      </c>
      <c r="C41" s="12">
        <v>8</v>
      </c>
      <c r="D41" s="12">
        <v>9</v>
      </c>
      <c r="E41" s="12">
        <v>14</v>
      </c>
      <c r="F41" s="12">
        <v>13</v>
      </c>
      <c r="G41" s="12">
        <v>16</v>
      </c>
      <c r="H41" s="12">
        <v>12</v>
      </c>
      <c r="I41" s="12">
        <v>11</v>
      </c>
      <c r="J41" s="12">
        <v>8</v>
      </c>
      <c r="K41" s="12">
        <v>12</v>
      </c>
      <c r="L41" s="12">
        <v>17</v>
      </c>
      <c r="M41" s="12">
        <v>22</v>
      </c>
      <c r="N41" s="12">
        <v>1545</v>
      </c>
    </row>
    <row r="42" spans="2:14" ht="14.65" thickBot="1" x14ac:dyDescent="0.5">
      <c r="B42" t="s">
        <v>30</v>
      </c>
      <c r="C42">
        <v>817</v>
      </c>
      <c r="D42">
        <v>705</v>
      </c>
      <c r="E42">
        <v>1303</v>
      </c>
      <c r="F42">
        <v>1678</v>
      </c>
      <c r="G42">
        <v>1456</v>
      </c>
      <c r="H42">
        <v>1727</v>
      </c>
      <c r="I42">
        <v>2555</v>
      </c>
      <c r="J42">
        <v>2869</v>
      </c>
      <c r="K42">
        <v>3024</v>
      </c>
      <c r="L42">
        <v>3555</v>
      </c>
      <c r="M42">
        <v>3319</v>
      </c>
      <c r="N42">
        <v>3159</v>
      </c>
    </row>
    <row r="43" spans="2:14" ht="14.65" thickBot="1" x14ac:dyDescent="0.5">
      <c r="B43" s="1" t="s">
        <v>31</v>
      </c>
      <c r="C43" s="18">
        <v>8914</v>
      </c>
      <c r="D43" s="18">
        <v>10559</v>
      </c>
      <c r="E43" s="18">
        <v>12405</v>
      </c>
      <c r="F43" s="18">
        <v>13763</v>
      </c>
      <c r="G43" s="18">
        <v>16249</v>
      </c>
      <c r="H43" s="18">
        <v>16138</v>
      </c>
      <c r="I43" s="18">
        <v>20355</v>
      </c>
      <c r="J43" s="18">
        <v>22958</v>
      </c>
      <c r="K43" s="18">
        <v>25779</v>
      </c>
      <c r="L43" s="18">
        <v>29901</v>
      </c>
      <c r="M43" s="18">
        <v>30355</v>
      </c>
      <c r="N43" s="18">
        <v>34519</v>
      </c>
    </row>
    <row r="44" spans="2:14" ht="14.65" thickTop="1" x14ac:dyDescent="0.45"/>
    <row r="45" spans="2:14" x14ac:dyDescent="0.45">
      <c r="B45" t="s">
        <v>33</v>
      </c>
    </row>
    <row r="46" spans="2:14" ht="14.65" thickBot="1" x14ac:dyDescent="0.5"/>
    <row r="47" spans="2:14" s="1" customFormat="1" ht="14.65" thickBot="1" x14ac:dyDescent="0.5">
      <c r="B47" s="8" t="s">
        <v>60</v>
      </c>
      <c r="C47" s="9">
        <v>1188</v>
      </c>
      <c r="D47" s="9">
        <v>2243</v>
      </c>
      <c r="E47" s="9">
        <v>1527</v>
      </c>
      <c r="F47" s="9">
        <v>2113</v>
      </c>
      <c r="G47" s="9">
        <v>2470</v>
      </c>
      <c r="H47" s="9">
        <v>3038</v>
      </c>
      <c r="I47" s="9">
        <v>3683</v>
      </c>
      <c r="J47" s="8">
        <v>986</v>
      </c>
      <c r="K47" s="9">
        <v>4193</v>
      </c>
      <c r="L47" s="9">
        <v>6104</v>
      </c>
      <c r="M47" s="9">
        <v>4424</v>
      </c>
      <c r="N47" s="9">
        <v>7088</v>
      </c>
    </row>
    <row r="48" spans="2:14" ht="14.65" thickBot="1" x14ac:dyDescent="0.5">
      <c r="B48" s="8" t="s">
        <v>61</v>
      </c>
      <c r="C48" s="9">
        <v>2271</v>
      </c>
      <c r="D48" s="9">
        <v>2848</v>
      </c>
      <c r="E48" s="9">
        <v>3056</v>
      </c>
      <c r="F48" s="9">
        <v>3274</v>
      </c>
      <c r="G48" s="9">
        <v>3861</v>
      </c>
      <c r="H48" s="9">
        <v>4380</v>
      </c>
      <c r="I48" s="9">
        <v>4970</v>
      </c>
      <c r="J48" s="9">
        <v>4957</v>
      </c>
      <c r="K48" s="9">
        <v>6460</v>
      </c>
      <c r="L48" s="9">
        <v>7929</v>
      </c>
      <c r="M48" s="9">
        <v>6390</v>
      </c>
      <c r="N48" s="9">
        <v>7186</v>
      </c>
    </row>
    <row r="49" spans="2:14" ht="14.65" thickBot="1" x14ac:dyDescent="0.5">
      <c r="B49" s="13" t="s">
        <v>62</v>
      </c>
      <c r="C49" s="13">
        <v>-155</v>
      </c>
      <c r="D49" s="13">
        <v>-146</v>
      </c>
      <c r="E49" s="13">
        <v>-475</v>
      </c>
      <c r="F49" s="13">
        <v>-483</v>
      </c>
      <c r="G49" s="13">
        <v>-205</v>
      </c>
      <c r="H49" s="13">
        <v>160</v>
      </c>
      <c r="I49" s="13">
        <v>-849</v>
      </c>
      <c r="J49" s="14">
        <v>-1326</v>
      </c>
      <c r="K49" s="13">
        <v>-834</v>
      </c>
      <c r="L49" s="13">
        <v>-362</v>
      </c>
      <c r="M49" s="13">
        <v>282</v>
      </c>
      <c r="N49" s="13">
        <v>-274</v>
      </c>
    </row>
    <row r="50" spans="2:14" ht="14.65" thickBot="1" x14ac:dyDescent="0.5">
      <c r="B50" s="13" t="s">
        <v>63</v>
      </c>
      <c r="C50" s="13">
        <v>-144</v>
      </c>
      <c r="D50" s="13">
        <v>202</v>
      </c>
      <c r="E50" s="13">
        <v>-629</v>
      </c>
      <c r="F50" s="13">
        <v>-39</v>
      </c>
      <c r="G50" s="13">
        <v>-492</v>
      </c>
      <c r="H50" s="13">
        <v>-251</v>
      </c>
      <c r="I50" s="13">
        <v>-409</v>
      </c>
      <c r="J50" s="14">
        <v>-2354</v>
      </c>
      <c r="K50" s="13">
        <v>-56</v>
      </c>
      <c r="L50" s="13">
        <v>315</v>
      </c>
      <c r="M50" s="13">
        <v>-805</v>
      </c>
      <c r="N50" s="13">
        <v>976</v>
      </c>
    </row>
    <row r="51" spans="2:14" ht="14.65" thickBot="1" x14ac:dyDescent="0.5">
      <c r="B51" s="13" t="s">
        <v>64</v>
      </c>
      <c r="C51" s="13">
        <v>-151</v>
      </c>
      <c r="D51" s="13">
        <v>142</v>
      </c>
      <c r="E51" s="13">
        <v>501</v>
      </c>
      <c r="F51" s="13">
        <v>442</v>
      </c>
      <c r="G51" s="13">
        <v>287</v>
      </c>
      <c r="H51" s="13">
        <v>-241</v>
      </c>
      <c r="I51" s="14">
        <v>1143</v>
      </c>
      <c r="J51" s="13">
        <v>644</v>
      </c>
      <c r="K51" s="13">
        <v>-539</v>
      </c>
      <c r="L51" s="13">
        <v>269</v>
      </c>
      <c r="M51" s="13">
        <v>-160</v>
      </c>
      <c r="N51" s="13">
        <v>396</v>
      </c>
    </row>
    <row r="52" spans="2:14" ht="14.65" thickBot="1" x14ac:dyDescent="0.5">
      <c r="B52" s="13" t="s">
        <v>65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-92</v>
      </c>
      <c r="J52" s="13">
        <v>242</v>
      </c>
      <c r="K52" s="13">
        <v>657</v>
      </c>
      <c r="L52" s="13">
        <v>-212</v>
      </c>
      <c r="M52" s="13">
        <v>114</v>
      </c>
      <c r="N52" s="13">
        <v>378</v>
      </c>
    </row>
    <row r="53" spans="2:14" ht="14.65" thickBot="1" x14ac:dyDescent="0.5">
      <c r="B53" s="8" t="s">
        <v>66</v>
      </c>
      <c r="C53" s="8">
        <v>-450</v>
      </c>
      <c r="D53" s="8">
        <v>198</v>
      </c>
      <c r="E53" s="8">
        <v>-603</v>
      </c>
      <c r="F53" s="8">
        <v>-80</v>
      </c>
      <c r="G53" s="8">
        <v>-410</v>
      </c>
      <c r="H53" s="8">
        <v>-331</v>
      </c>
      <c r="I53" s="8">
        <v>-206</v>
      </c>
      <c r="J53" s="9">
        <v>-2795</v>
      </c>
      <c r="K53" s="8">
        <v>-772</v>
      </c>
      <c r="L53" s="8">
        <v>10</v>
      </c>
      <c r="M53" s="8">
        <v>-570</v>
      </c>
      <c r="N53" s="9">
        <v>1476</v>
      </c>
    </row>
    <row r="54" spans="2:14" ht="14.65" thickBot="1" x14ac:dyDescent="0.5">
      <c r="B54" s="13" t="s">
        <v>67</v>
      </c>
      <c r="C54" s="13">
        <v>-633</v>
      </c>
      <c r="D54" s="13">
        <v>-802</v>
      </c>
      <c r="E54" s="13">
        <v>-925</v>
      </c>
      <c r="F54" s="14">
        <v>-1081</v>
      </c>
      <c r="G54" s="13">
        <v>-982</v>
      </c>
      <c r="H54" s="14">
        <v>-1011</v>
      </c>
      <c r="I54" s="14">
        <v>-1080</v>
      </c>
      <c r="J54" s="14">
        <v>-1176</v>
      </c>
      <c r="K54" s="14">
        <v>-1494</v>
      </c>
      <c r="L54" s="14">
        <v>-1835</v>
      </c>
      <c r="M54" s="14">
        <v>-1396</v>
      </c>
      <c r="N54" s="14">
        <v>-1574</v>
      </c>
    </row>
    <row r="55" spans="2:14" ht="14.65" thickBot="1" x14ac:dyDescent="0.5">
      <c r="B55" s="8" t="s">
        <v>68</v>
      </c>
      <c r="C55" s="8">
        <v>-465</v>
      </c>
      <c r="D55" s="8">
        <v>-866</v>
      </c>
      <c r="E55" s="8">
        <v>-681</v>
      </c>
      <c r="F55" s="9">
        <v>-1556</v>
      </c>
      <c r="G55" s="8">
        <v>-918</v>
      </c>
      <c r="H55" s="8">
        <v>-518</v>
      </c>
      <c r="I55" s="8">
        <v>-541</v>
      </c>
      <c r="J55" s="8">
        <v>-317</v>
      </c>
      <c r="K55" s="9">
        <v>-1282</v>
      </c>
      <c r="L55" s="9">
        <v>-2548</v>
      </c>
      <c r="M55" s="8">
        <v>-941</v>
      </c>
      <c r="N55" s="9">
        <v>-1328</v>
      </c>
    </row>
    <row r="56" spans="2:14" ht="14.65" thickBot="1" x14ac:dyDescent="0.5">
      <c r="B56" s="13" t="s">
        <v>69</v>
      </c>
      <c r="C56" s="13">
        <v>-454</v>
      </c>
      <c r="D56" s="13">
        <v>-817</v>
      </c>
      <c r="E56" s="13">
        <v>-684</v>
      </c>
      <c r="F56" s="14">
        <v>-1426</v>
      </c>
      <c r="G56" s="14">
        <v>-1151</v>
      </c>
      <c r="H56" s="13">
        <v>-414</v>
      </c>
      <c r="I56" s="13">
        <v>-289</v>
      </c>
      <c r="J56" s="13">
        <v>-551</v>
      </c>
      <c r="K56" s="14">
        <v>-1446</v>
      </c>
      <c r="L56" s="14">
        <v>-2496</v>
      </c>
      <c r="M56" s="14">
        <v>-1830</v>
      </c>
      <c r="N56" s="14">
        <v>-1487</v>
      </c>
    </row>
    <row r="57" spans="2:14" ht="14.65" thickBot="1" x14ac:dyDescent="0.5">
      <c r="B57" s="13" t="s">
        <v>70</v>
      </c>
      <c r="C57" s="13">
        <v>16</v>
      </c>
      <c r="D57" s="13">
        <v>15</v>
      </c>
      <c r="E57" s="13">
        <v>17</v>
      </c>
      <c r="F57" s="13">
        <v>17</v>
      </c>
      <c r="G57" s="13">
        <v>17</v>
      </c>
      <c r="H57" s="13">
        <v>37</v>
      </c>
      <c r="I57" s="13">
        <v>28</v>
      </c>
      <c r="J57" s="13">
        <v>40</v>
      </c>
      <c r="K57" s="13">
        <v>26</v>
      </c>
      <c r="L57" s="13">
        <v>5</v>
      </c>
      <c r="M57" s="13">
        <v>10</v>
      </c>
      <c r="N57" s="13">
        <v>3</v>
      </c>
    </row>
    <row r="58" spans="2:14" ht="14.65" thickBot="1" x14ac:dyDescent="0.5">
      <c r="B58" s="13" t="s">
        <v>71</v>
      </c>
      <c r="C58" s="13">
        <v>-243</v>
      </c>
      <c r="D58" s="13">
        <v>-282</v>
      </c>
      <c r="E58" s="13">
        <v>-153</v>
      </c>
      <c r="F58" s="13">
        <v>-320</v>
      </c>
      <c r="G58" s="13">
        <v>-573</v>
      </c>
      <c r="H58" s="13">
        <v>-25</v>
      </c>
      <c r="I58" s="13">
        <v>-140</v>
      </c>
      <c r="J58" s="13">
        <v>0</v>
      </c>
      <c r="K58" s="13">
        <v>-146</v>
      </c>
      <c r="L58" s="13">
        <v>-212</v>
      </c>
      <c r="M58" s="13">
        <v>-1</v>
      </c>
      <c r="N58" s="13">
        <v>0</v>
      </c>
    </row>
    <row r="59" spans="2:14" ht="14.65" thickBot="1" x14ac:dyDescent="0.5">
      <c r="B59" s="13" t="s">
        <v>72</v>
      </c>
      <c r="C59" s="13">
        <v>278</v>
      </c>
      <c r="D59" s="13">
        <v>205</v>
      </c>
      <c r="E59" s="13">
        <v>357</v>
      </c>
      <c r="F59" s="13">
        <v>362</v>
      </c>
      <c r="G59" s="13">
        <v>733</v>
      </c>
      <c r="H59" s="13">
        <v>118</v>
      </c>
      <c r="I59" s="13">
        <v>272</v>
      </c>
      <c r="J59" s="13">
        <v>207</v>
      </c>
      <c r="K59" s="13">
        <v>446</v>
      </c>
      <c r="L59" s="13">
        <v>240</v>
      </c>
      <c r="M59" s="13">
        <v>421</v>
      </c>
      <c r="N59" s="14">
        <v>1197</v>
      </c>
    </row>
    <row r="60" spans="2:14" ht="14.65" thickBot="1" x14ac:dyDescent="0.5">
      <c r="B60" s="13" t="s">
        <v>73</v>
      </c>
      <c r="C60" s="13">
        <v>11</v>
      </c>
      <c r="D60" s="13">
        <v>15</v>
      </c>
      <c r="E60" s="13">
        <v>32</v>
      </c>
      <c r="F60" s="13">
        <v>39</v>
      </c>
      <c r="G60" s="13">
        <v>40</v>
      </c>
      <c r="H60" s="13">
        <v>65</v>
      </c>
      <c r="I60" s="13">
        <v>73</v>
      </c>
      <c r="J60" s="13">
        <v>77</v>
      </c>
      <c r="K60" s="13">
        <v>87</v>
      </c>
      <c r="L60" s="13">
        <v>135</v>
      </c>
      <c r="M60" s="13">
        <v>155</v>
      </c>
      <c r="N60" s="13">
        <v>153</v>
      </c>
    </row>
    <row r="61" spans="2:14" ht="14.65" thickBot="1" x14ac:dyDescent="0.5">
      <c r="B61" s="13" t="s">
        <v>74</v>
      </c>
      <c r="C61" s="13">
        <v>71</v>
      </c>
      <c r="D61" s="13">
        <v>69</v>
      </c>
      <c r="E61" s="13">
        <v>74</v>
      </c>
      <c r="F61" s="13">
        <v>38</v>
      </c>
      <c r="G61" s="13">
        <v>40</v>
      </c>
      <c r="H61" s="13">
        <v>27</v>
      </c>
      <c r="I61" s="13">
        <v>8</v>
      </c>
      <c r="J61" s="13">
        <v>15</v>
      </c>
      <c r="K61" s="13">
        <v>56</v>
      </c>
      <c r="L61" s="13">
        <v>129</v>
      </c>
      <c r="M61" s="13">
        <v>136</v>
      </c>
      <c r="N61" s="13">
        <v>118</v>
      </c>
    </row>
    <row r="62" spans="2:14" ht="14.65" thickBot="1" x14ac:dyDescent="0.5">
      <c r="B62" s="13" t="s">
        <v>75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-180</v>
      </c>
      <c r="L62" s="13">
        <v>0</v>
      </c>
      <c r="M62" s="13">
        <v>0</v>
      </c>
      <c r="N62" s="13">
        <v>0</v>
      </c>
    </row>
    <row r="63" spans="2:14" ht="14.65" thickBot="1" x14ac:dyDescent="0.5">
      <c r="B63" s="13" t="s">
        <v>76</v>
      </c>
      <c r="C63" s="13">
        <v>0</v>
      </c>
      <c r="D63" s="13">
        <v>0</v>
      </c>
      <c r="E63" s="13">
        <v>0</v>
      </c>
      <c r="F63" s="13">
        <v>141</v>
      </c>
      <c r="G63" s="13">
        <v>0</v>
      </c>
      <c r="H63" s="13">
        <v>17</v>
      </c>
      <c r="I63" s="13">
        <v>0</v>
      </c>
      <c r="J63" s="13">
        <v>0</v>
      </c>
      <c r="K63" s="13">
        <v>0</v>
      </c>
      <c r="L63" s="13">
        <v>0</v>
      </c>
      <c r="M63" s="13">
        <v>38</v>
      </c>
      <c r="N63" s="13">
        <v>0</v>
      </c>
    </row>
    <row r="64" spans="2:14" ht="14.65" thickBot="1" x14ac:dyDescent="0.5">
      <c r="B64" s="13" t="s">
        <v>77</v>
      </c>
      <c r="C64" s="13">
        <v>0</v>
      </c>
      <c r="D64" s="13">
        <v>0</v>
      </c>
      <c r="E64" s="13">
        <v>0</v>
      </c>
      <c r="F64" s="13">
        <v>-525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</row>
    <row r="65" spans="2:14" ht="14.65" thickBot="1" x14ac:dyDescent="0.5">
      <c r="B65" s="13" t="s">
        <v>78</v>
      </c>
      <c r="C65" s="13">
        <v>-144</v>
      </c>
      <c r="D65" s="13">
        <v>-70</v>
      </c>
      <c r="E65" s="13">
        <v>-324</v>
      </c>
      <c r="F65" s="13">
        <v>118</v>
      </c>
      <c r="G65" s="13">
        <v>-24</v>
      </c>
      <c r="H65" s="13">
        <v>-343</v>
      </c>
      <c r="I65" s="13">
        <v>-493</v>
      </c>
      <c r="J65" s="13">
        <v>-105</v>
      </c>
      <c r="K65" s="13">
        <v>-126</v>
      </c>
      <c r="L65" s="13">
        <v>-350</v>
      </c>
      <c r="M65" s="13">
        <v>130</v>
      </c>
      <c r="N65" s="14">
        <v>-1312</v>
      </c>
    </row>
    <row r="66" spans="2:14" ht="14.65" thickBot="1" x14ac:dyDescent="0.5">
      <c r="B66" s="8" t="s">
        <v>79</v>
      </c>
      <c r="C66" s="8">
        <v>-576</v>
      </c>
      <c r="D66" s="8">
        <v>-849</v>
      </c>
      <c r="E66" s="8">
        <v>-756</v>
      </c>
      <c r="F66" s="9">
        <v>-1379</v>
      </c>
      <c r="G66" s="9">
        <v>-1117</v>
      </c>
      <c r="H66" s="9">
        <v>-2871</v>
      </c>
      <c r="I66" s="8">
        <v>-650</v>
      </c>
      <c r="J66" s="9">
        <v>-1808</v>
      </c>
      <c r="K66" s="9">
        <v>-2140</v>
      </c>
      <c r="L66" s="9">
        <v>-2982</v>
      </c>
      <c r="M66" s="9">
        <v>-3753</v>
      </c>
      <c r="N66" s="9">
        <v>-2377</v>
      </c>
    </row>
    <row r="67" spans="2:14" ht="14.65" thickBot="1" x14ac:dyDescent="0.5">
      <c r="B67" s="13" t="s">
        <v>80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0</v>
      </c>
      <c r="N67" s="13">
        <v>0</v>
      </c>
    </row>
    <row r="68" spans="2:14" ht="14.65" thickBot="1" x14ac:dyDescent="0.5">
      <c r="B68" s="13" t="s">
        <v>81</v>
      </c>
      <c r="C68" s="13">
        <v>239</v>
      </c>
      <c r="D68" s="13">
        <v>8</v>
      </c>
      <c r="E68" s="13">
        <v>271</v>
      </c>
      <c r="F68" s="13">
        <v>10</v>
      </c>
      <c r="G68" s="13">
        <v>243</v>
      </c>
      <c r="H68" s="13">
        <v>18</v>
      </c>
      <c r="I68" s="13">
        <v>155</v>
      </c>
      <c r="J68" s="13">
        <v>418</v>
      </c>
      <c r="K68" s="13">
        <v>254</v>
      </c>
      <c r="L68" s="13">
        <v>101</v>
      </c>
      <c r="M68" s="13">
        <v>415</v>
      </c>
      <c r="N68" s="14">
        <v>1279</v>
      </c>
    </row>
    <row r="69" spans="2:14" ht="14.65" thickBot="1" x14ac:dyDescent="0.5">
      <c r="B69" s="13" t="s">
        <v>82</v>
      </c>
      <c r="C69" s="13">
        <v>-86</v>
      </c>
      <c r="D69" s="13">
        <v>-119</v>
      </c>
      <c r="E69" s="13">
        <v>-58</v>
      </c>
      <c r="F69" s="13">
        <v>-54</v>
      </c>
      <c r="G69" s="13">
        <v>-26</v>
      </c>
      <c r="H69" s="13">
        <v>-482</v>
      </c>
      <c r="I69" s="13">
        <v>-14</v>
      </c>
      <c r="J69" s="13">
        <v>-8</v>
      </c>
      <c r="K69" s="13">
        <v>-25</v>
      </c>
      <c r="L69" s="13">
        <v>-98</v>
      </c>
      <c r="M69" s="13">
        <v>-428</v>
      </c>
      <c r="N69" s="13">
        <v>-32</v>
      </c>
    </row>
    <row r="70" spans="2:14" ht="14.65" thickBot="1" x14ac:dyDescent="0.5">
      <c r="B70" s="13" t="s">
        <v>83</v>
      </c>
      <c r="C70" s="13">
        <v>-35</v>
      </c>
      <c r="D70" s="13">
        <v>-40</v>
      </c>
      <c r="E70" s="13">
        <v>-36</v>
      </c>
      <c r="F70" s="13">
        <v>-35</v>
      </c>
      <c r="G70" s="13">
        <v>-106</v>
      </c>
      <c r="H70" s="13">
        <v>-101</v>
      </c>
      <c r="I70" s="13">
        <v>-89</v>
      </c>
      <c r="J70" s="13">
        <v>-94</v>
      </c>
      <c r="K70" s="13">
        <v>-142</v>
      </c>
      <c r="L70" s="13">
        <v>-191</v>
      </c>
      <c r="M70" s="13">
        <v>-203</v>
      </c>
      <c r="N70" s="13">
        <v>-228</v>
      </c>
    </row>
    <row r="71" spans="2:14" ht="14.65" thickBot="1" x14ac:dyDescent="0.5">
      <c r="B71" s="13" t="s">
        <v>84</v>
      </c>
      <c r="C71" s="13">
        <v>-695</v>
      </c>
      <c r="D71" s="13">
        <v>-764</v>
      </c>
      <c r="E71" s="13">
        <v>-947</v>
      </c>
      <c r="F71" s="14">
        <v>-1218</v>
      </c>
      <c r="G71" s="14">
        <v>-1049</v>
      </c>
      <c r="H71" s="14">
        <v>-2121</v>
      </c>
      <c r="I71" s="13">
        <v>-499</v>
      </c>
      <c r="J71" s="14">
        <v>-1763</v>
      </c>
      <c r="K71" s="14">
        <v>-1936</v>
      </c>
      <c r="L71" s="14">
        <v>-2551</v>
      </c>
      <c r="M71" s="14">
        <v>-3140</v>
      </c>
      <c r="N71" s="14">
        <v>-2425</v>
      </c>
    </row>
    <row r="72" spans="2:14" ht="14.65" thickBot="1" x14ac:dyDescent="0.5">
      <c r="B72" s="13" t="s">
        <v>85</v>
      </c>
      <c r="C72" s="13">
        <v>0</v>
      </c>
      <c r="D72" s="13">
        <v>0</v>
      </c>
      <c r="E72" s="13">
        <v>0</v>
      </c>
      <c r="F72" s="13">
        <v>0</v>
      </c>
      <c r="G72" s="13">
        <v>-180</v>
      </c>
      <c r="H72" s="13">
        <v>-179</v>
      </c>
      <c r="I72" s="13">
        <v>-203</v>
      </c>
      <c r="J72" s="13">
        <v>-221</v>
      </c>
      <c r="K72" s="13">
        <v>-256</v>
      </c>
      <c r="L72" s="13">
        <v>-286</v>
      </c>
      <c r="M72" s="13">
        <v>-325</v>
      </c>
      <c r="N72" s="13">
        <v>-340</v>
      </c>
    </row>
    <row r="73" spans="2:14" ht="14.65" thickBot="1" x14ac:dyDescent="0.5">
      <c r="B73" s="13" t="s">
        <v>86</v>
      </c>
      <c r="C73" s="13">
        <v>0</v>
      </c>
      <c r="D73" s="13">
        <v>66</v>
      </c>
      <c r="E73" s="13">
        <v>13</v>
      </c>
      <c r="F73" s="13">
        <v>-82</v>
      </c>
      <c r="G73" s="13">
        <v>0</v>
      </c>
      <c r="H73" s="13">
        <v>-6</v>
      </c>
      <c r="I73" s="13">
        <v>0</v>
      </c>
      <c r="J73" s="13">
        <v>-140</v>
      </c>
      <c r="K73" s="13">
        <v>-36</v>
      </c>
      <c r="L73" s="13">
        <v>41</v>
      </c>
      <c r="M73" s="13">
        <v>-72</v>
      </c>
      <c r="N73" s="13">
        <v>-629</v>
      </c>
    </row>
    <row r="74" spans="2:14" ht="14.65" thickBot="1" x14ac:dyDescent="0.5">
      <c r="B74" s="8" t="s">
        <v>87</v>
      </c>
      <c r="C74" s="8">
        <v>147</v>
      </c>
      <c r="D74" s="8">
        <v>528</v>
      </c>
      <c r="E74" s="8">
        <v>90</v>
      </c>
      <c r="F74" s="8">
        <v>-822</v>
      </c>
      <c r="G74" s="8">
        <v>434</v>
      </c>
      <c r="H74" s="8">
        <v>-351</v>
      </c>
      <c r="I74" s="9">
        <v>2492</v>
      </c>
      <c r="J74" s="9">
        <v>-1138</v>
      </c>
      <c r="K74" s="8">
        <v>771</v>
      </c>
      <c r="L74" s="8">
        <v>573</v>
      </c>
      <c r="M74" s="8">
        <v>-270</v>
      </c>
      <c r="N74" s="9">
        <v>3383</v>
      </c>
    </row>
    <row r="75" spans="2:14" ht="14.65" thickBot="1" x14ac:dyDescent="0.5">
      <c r="B75" s="8" t="s">
        <v>88</v>
      </c>
      <c r="C75" s="8">
        <v>750</v>
      </c>
      <c r="D75" s="9">
        <v>1441</v>
      </c>
      <c r="E75" s="8">
        <v>860</v>
      </c>
      <c r="F75" s="8">
        <v>705</v>
      </c>
      <c r="G75" s="9">
        <v>1336</v>
      </c>
      <c r="H75" s="9">
        <v>2661</v>
      </c>
      <c r="I75" s="9">
        <v>3422</v>
      </c>
      <c r="J75" s="8">
        <v>475</v>
      </c>
      <c r="K75" s="9">
        <v>2774</v>
      </c>
      <c r="L75" s="9">
        <v>3613</v>
      </c>
      <c r="M75" s="9">
        <v>2604</v>
      </c>
      <c r="N75" s="9">
        <v>5604</v>
      </c>
    </row>
    <row r="76" spans="2:14" ht="14.65" thickBot="1" x14ac:dyDescent="0.5">
      <c r="B76" s="34" t="s">
        <v>89</v>
      </c>
      <c r="C76" s="54">
        <v>0.81</v>
      </c>
      <c r="D76" s="54">
        <v>1.1200000000000001</v>
      </c>
      <c r="E76" s="54">
        <v>0.82</v>
      </c>
      <c r="F76" s="54">
        <v>1</v>
      </c>
      <c r="G76" s="54">
        <v>0.92</v>
      </c>
      <c r="H76" s="54">
        <v>0.97</v>
      </c>
      <c r="I76" s="54">
        <v>0.98</v>
      </c>
      <c r="J76" s="54">
        <v>0.45</v>
      </c>
      <c r="K76" s="54">
        <v>0.91</v>
      </c>
      <c r="L76" s="54">
        <v>1.05</v>
      </c>
      <c r="M76" s="54">
        <v>0.97</v>
      </c>
      <c r="N76" s="54">
        <v>1.29</v>
      </c>
    </row>
    <row r="77" spans="2:14" ht="14.65" thickTop="1" x14ac:dyDescent="0.45"/>
  </sheetData>
  <mergeCells count="1">
    <mergeCell ref="B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0870-C824-4F35-B73A-D8438C6BE58D}">
  <dimension ref="A3:N67"/>
  <sheetViews>
    <sheetView showGridLines="0" zoomScaleNormal="100" workbookViewId="0">
      <pane ySplit="6" topLeftCell="A47" activePane="bottomLeft" state="frozen"/>
      <selection pane="bottomLeft" activeCell="O64" sqref="O64"/>
    </sheetView>
  </sheetViews>
  <sheetFormatPr defaultRowHeight="14.25" x14ac:dyDescent="0.45"/>
  <cols>
    <col min="1" max="1" width="1.86328125" style="19" customWidth="1"/>
    <col min="2" max="2" width="12.59765625" bestFit="1" customWidth="1"/>
    <col min="5" max="5" width="10.59765625" bestFit="1" customWidth="1"/>
    <col min="6" max="6" width="17.59765625" customWidth="1"/>
    <col min="7" max="7" width="18.86328125" customWidth="1"/>
    <col min="8" max="8" width="18.796875" customWidth="1"/>
    <col min="9" max="9" width="16.9296875" customWidth="1"/>
  </cols>
  <sheetData>
    <row r="3" spans="1:14" x14ac:dyDescent="0.45">
      <c r="B3" s="73" t="s">
        <v>100</v>
      </c>
      <c r="C3" s="73"/>
      <c r="D3" s="73"/>
      <c r="E3" s="73"/>
      <c r="F3" s="73"/>
      <c r="G3" s="73"/>
      <c r="H3" s="73"/>
      <c r="I3" s="73"/>
      <c r="J3" s="6"/>
      <c r="K3" s="6"/>
      <c r="L3" s="6"/>
      <c r="M3" s="6"/>
      <c r="N3" s="6"/>
    </row>
    <row r="4" spans="1:14" x14ac:dyDescent="0.45">
      <c r="B4" s="73"/>
      <c r="C4" s="73"/>
      <c r="D4" s="73"/>
      <c r="E4" s="73"/>
      <c r="F4" s="73"/>
      <c r="G4" s="73"/>
      <c r="H4" s="73"/>
      <c r="I4" s="73"/>
      <c r="J4" s="4"/>
      <c r="K4" s="4"/>
      <c r="L4" s="4"/>
      <c r="M4" s="4"/>
      <c r="N4" s="4"/>
    </row>
    <row r="5" spans="1:14" s="6" customFormat="1" x14ac:dyDescent="0.45">
      <c r="A5" s="5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45">
      <c r="B6" s="10" t="s">
        <v>36</v>
      </c>
      <c r="C6" s="10"/>
      <c r="D6" s="10"/>
      <c r="E6" s="11">
        <v>44256</v>
      </c>
      <c r="F6" s="11">
        <v>44621</v>
      </c>
      <c r="G6" s="11">
        <v>44986</v>
      </c>
      <c r="H6" s="11">
        <v>45352</v>
      </c>
      <c r="I6" s="11">
        <v>45717</v>
      </c>
    </row>
    <row r="8" spans="1:14" ht="14.65" thickBot="1" x14ac:dyDescent="0.5">
      <c r="A8" s="19" t="s">
        <v>98</v>
      </c>
      <c r="B8" s="1" t="s">
        <v>37</v>
      </c>
    </row>
    <row r="9" spans="1:14" ht="14.65" thickBot="1" x14ac:dyDescent="0.5">
      <c r="B9" s="12" t="str">
        <f>Sheet1!B38</f>
        <v>Inventories</v>
      </c>
      <c r="C9" s="12"/>
      <c r="D9" s="12"/>
      <c r="E9" s="12">
        <f>Sheet1!I38</f>
        <v>3799</v>
      </c>
      <c r="F9" s="12">
        <f>Sheet1!J38</f>
        <v>6153</v>
      </c>
      <c r="G9" s="12">
        <f>Sheet1!K38</f>
        <v>6211</v>
      </c>
      <c r="H9" s="12">
        <f>Sheet1!L38</f>
        <v>5923</v>
      </c>
      <c r="I9" s="12">
        <f>Sheet1!M38</f>
        <v>6719</v>
      </c>
    </row>
    <row r="10" spans="1:14" ht="14.65" thickBot="1" x14ac:dyDescent="0.5">
      <c r="B10" s="12" t="str">
        <f>Sheet1!B39</f>
        <v xml:space="preserve">Trade receivables </v>
      </c>
      <c r="C10" s="12"/>
      <c r="D10" s="12"/>
      <c r="E10" s="12">
        <f>Sheet1!I39</f>
        <v>2602</v>
      </c>
      <c r="F10" s="12">
        <f>Sheet1!J39</f>
        <v>3871</v>
      </c>
      <c r="G10" s="12">
        <f>Sheet1!K39</f>
        <v>4637</v>
      </c>
      <c r="H10" s="12">
        <f>Sheet1!L39</f>
        <v>4889</v>
      </c>
      <c r="I10" s="12">
        <f>Sheet1!M39</f>
        <v>4314</v>
      </c>
    </row>
    <row r="11" spans="1:14" ht="14.65" thickBot="1" x14ac:dyDescent="0.5">
      <c r="B11" s="12" t="str">
        <f>Sheet1!B41</f>
        <v>Loans n Advances</v>
      </c>
      <c r="C11" s="12"/>
      <c r="D11" s="12"/>
      <c r="E11" s="12">
        <f>Sheet1!I41</f>
        <v>11</v>
      </c>
      <c r="F11" s="12">
        <f>Sheet1!J41</f>
        <v>8</v>
      </c>
      <c r="G11" s="12">
        <f>Sheet1!K41</f>
        <v>12</v>
      </c>
      <c r="H11" s="12">
        <f>Sheet1!L41</f>
        <v>17</v>
      </c>
      <c r="I11" s="12">
        <f>Sheet1!M41</f>
        <v>22</v>
      </c>
    </row>
    <row r="12" spans="1:14" ht="14.65" thickBot="1" x14ac:dyDescent="0.5">
      <c r="B12" s="12" t="str">
        <f>Sheet1!B42</f>
        <v>Other asset items</v>
      </c>
      <c r="C12" s="12"/>
      <c r="D12" s="12"/>
      <c r="E12" s="12">
        <f>Sheet1!I42</f>
        <v>2555</v>
      </c>
      <c r="F12" s="12">
        <f>Sheet1!J42</f>
        <v>2869</v>
      </c>
      <c r="G12" s="12">
        <f>Sheet1!K42</f>
        <v>3024</v>
      </c>
      <c r="H12" s="12">
        <f>Sheet1!L42</f>
        <v>3555</v>
      </c>
      <c r="I12" s="12">
        <f>Sheet1!M42</f>
        <v>3319</v>
      </c>
    </row>
    <row r="13" spans="1:14" ht="14.65" thickBot="1" x14ac:dyDescent="0.5">
      <c r="A13" s="19" t="s">
        <v>98</v>
      </c>
      <c r="B13" s="22" t="s">
        <v>38</v>
      </c>
      <c r="C13" s="23"/>
      <c r="D13" s="23"/>
      <c r="E13" s="22">
        <f>SUM(E9:E12)</f>
        <v>8967</v>
      </c>
      <c r="F13" s="22">
        <f t="shared" ref="F13:I13" si="0">SUM(F9:F12)</f>
        <v>12901</v>
      </c>
      <c r="G13" s="22">
        <f t="shared" si="0"/>
        <v>13884</v>
      </c>
      <c r="H13" s="22">
        <f t="shared" si="0"/>
        <v>14384</v>
      </c>
      <c r="I13" s="22">
        <f t="shared" si="0"/>
        <v>14374</v>
      </c>
    </row>
    <row r="14" spans="1:14" ht="14.65" thickTop="1" x14ac:dyDescent="0.45"/>
    <row r="15" spans="1:14" ht="14.65" thickBot="1" x14ac:dyDescent="0.5">
      <c r="B15" s="1" t="s">
        <v>39</v>
      </c>
    </row>
    <row r="16" spans="1:14" ht="14.65" thickBot="1" x14ac:dyDescent="0.5">
      <c r="B16" s="12" t="str">
        <f>Sheet1!B16</f>
        <v>Trade Payables</v>
      </c>
      <c r="C16" s="12"/>
      <c r="D16" s="12"/>
      <c r="E16" s="12">
        <f>Sheet1!I16</f>
        <v>3379</v>
      </c>
      <c r="F16" s="12">
        <f>Sheet1!J16</f>
        <v>4164</v>
      </c>
      <c r="G16" s="12">
        <f>Sheet1!K16</f>
        <v>3635</v>
      </c>
      <c r="H16" s="12">
        <f>Sheet1!L16</f>
        <v>3831</v>
      </c>
      <c r="I16" s="12">
        <f>Sheet1!M16</f>
        <v>3848</v>
      </c>
    </row>
    <row r="17" spans="1:9" ht="14.65" thickBot="1" x14ac:dyDescent="0.5">
      <c r="B17" s="12" t="str">
        <f>Sheet1!B17</f>
        <v>Advance from Customers</v>
      </c>
      <c r="C17" s="12"/>
      <c r="D17" s="12"/>
      <c r="E17" s="12">
        <f>Sheet1!I17</f>
        <v>41</v>
      </c>
      <c r="F17" s="12">
        <f>Sheet1!J17</f>
        <v>76</v>
      </c>
      <c r="G17" s="12">
        <f>Sheet1!K17</f>
        <v>108</v>
      </c>
      <c r="H17" s="12">
        <f>Sheet1!L17</f>
        <v>154</v>
      </c>
      <c r="I17" s="12">
        <f>Sheet1!M17</f>
        <v>173</v>
      </c>
    </row>
    <row r="18" spans="1:9" ht="14.65" thickBot="1" x14ac:dyDescent="0.5">
      <c r="B18" s="12" t="str">
        <f>Sheet1!B18</f>
        <v>Other liability items</v>
      </c>
      <c r="C18" s="12"/>
      <c r="D18" s="12"/>
      <c r="E18" s="12">
        <f>Sheet1!I18</f>
        <v>2613</v>
      </c>
      <c r="F18" s="12">
        <f>Sheet1!J18</f>
        <v>2932</v>
      </c>
      <c r="G18" s="12">
        <f>Sheet1!K18</f>
        <v>3657</v>
      </c>
      <c r="H18" s="12">
        <f>Sheet1!L18</f>
        <v>4017</v>
      </c>
      <c r="I18" s="12">
        <f>Sheet1!M18</f>
        <v>3985</v>
      </c>
    </row>
    <row r="19" spans="1:9" ht="14.65" thickBot="1" x14ac:dyDescent="0.5">
      <c r="A19" s="19" t="s">
        <v>98</v>
      </c>
      <c r="B19" s="22" t="s">
        <v>40</v>
      </c>
      <c r="C19" s="23"/>
      <c r="D19" s="23"/>
      <c r="E19" s="22">
        <f>SUM(E16:E18)</f>
        <v>6033</v>
      </c>
      <c r="F19" s="22">
        <f>SUM(F16:F18)</f>
        <v>7172</v>
      </c>
      <c r="G19" s="22">
        <f>SUM(G16:G18)</f>
        <v>7400</v>
      </c>
      <c r="H19" s="22">
        <f>SUM(H16:H18)</f>
        <v>8002</v>
      </c>
      <c r="I19" s="22">
        <f>SUM(I16:I18)</f>
        <v>8006</v>
      </c>
    </row>
    <row r="20" spans="1:9" ht="14.65" thickTop="1" x14ac:dyDescent="0.45"/>
    <row r="21" spans="1:9" ht="14.65" thickBot="1" x14ac:dyDescent="0.5"/>
    <row r="22" spans="1:9" ht="14.65" thickBot="1" x14ac:dyDescent="0.5">
      <c r="A22" s="19" t="s">
        <v>98</v>
      </c>
      <c r="B22" s="18" t="s">
        <v>41</v>
      </c>
      <c r="C22" s="26"/>
      <c r="D22" s="26"/>
      <c r="E22" s="27">
        <f>E13-E19</f>
        <v>2934</v>
      </c>
      <c r="F22" s="27">
        <f t="shared" ref="F22:I22" si="1">F13-F19</f>
        <v>5729</v>
      </c>
      <c r="G22" s="27">
        <f t="shared" si="1"/>
        <v>6484</v>
      </c>
      <c r="H22" s="27">
        <f t="shared" si="1"/>
        <v>6382</v>
      </c>
      <c r="I22" s="27">
        <f t="shared" si="1"/>
        <v>6368</v>
      </c>
    </row>
    <row r="23" spans="1:9" ht="14.65" thickTop="1" x14ac:dyDescent="0.45"/>
    <row r="24" spans="1:9" ht="14.65" thickBot="1" x14ac:dyDescent="0.5">
      <c r="A24" s="19" t="s">
        <v>98</v>
      </c>
      <c r="B24" s="1" t="s">
        <v>42</v>
      </c>
    </row>
    <row r="25" spans="1:9" ht="14.65" thickBot="1" x14ac:dyDescent="0.5">
      <c r="B25" s="12" t="str">
        <f>Sheet1!B22</f>
        <v>Land</v>
      </c>
      <c r="C25" s="12"/>
      <c r="D25" s="12"/>
      <c r="E25" s="12">
        <f>Sheet1!I22</f>
        <v>644</v>
      </c>
      <c r="F25" s="12">
        <f>Sheet1!J22</f>
        <v>644</v>
      </c>
      <c r="G25" s="12">
        <f>Sheet1!K22</f>
        <v>804</v>
      </c>
      <c r="H25" s="12">
        <f>Sheet1!L22</f>
        <v>1126</v>
      </c>
      <c r="I25" s="12">
        <f>Sheet1!M22</f>
        <v>1050</v>
      </c>
    </row>
    <row r="26" spans="1:9" ht="14.65" thickBot="1" x14ac:dyDescent="0.5">
      <c r="B26" s="12" t="str">
        <f>Sheet1!B23</f>
        <v>Building</v>
      </c>
      <c r="C26" s="12"/>
      <c r="D26" s="12"/>
      <c r="E26" s="12">
        <f>Sheet1!I23</f>
        <v>2249</v>
      </c>
      <c r="F26" s="12">
        <f>Sheet1!J23</f>
        <v>2325</v>
      </c>
      <c r="G26" s="12">
        <f>Sheet1!K23</f>
        <v>2883</v>
      </c>
      <c r="H26" s="12">
        <f>Sheet1!L23</f>
        <v>3390</v>
      </c>
      <c r="I26" s="12">
        <f>Sheet1!M23</f>
        <v>4136</v>
      </c>
    </row>
    <row r="27" spans="1:9" ht="14.65" thickBot="1" x14ac:dyDescent="0.5">
      <c r="B27" s="12" t="str">
        <f>Sheet1!B24</f>
        <v>Plant Machinery</v>
      </c>
      <c r="C27" s="12"/>
      <c r="D27" s="12"/>
      <c r="E27" s="12">
        <f>Sheet1!I24</f>
        <v>4340</v>
      </c>
      <c r="F27" s="12">
        <f>Sheet1!J24</f>
        <v>4531</v>
      </c>
      <c r="G27" s="12">
        <f>Sheet1!K24</f>
        <v>4825</v>
      </c>
      <c r="H27" s="12">
        <f>Sheet1!L24</f>
        <v>5422</v>
      </c>
      <c r="I27" s="12">
        <f>Sheet1!M24</f>
        <v>7576</v>
      </c>
    </row>
    <row r="28" spans="1:9" ht="14.65" thickBot="1" x14ac:dyDescent="0.5">
      <c r="B28" s="12" t="str">
        <f>Sheet1!B25</f>
        <v>Equipments</v>
      </c>
      <c r="C28" s="12"/>
      <c r="D28" s="12"/>
      <c r="E28" s="12">
        <f>Sheet1!I25</f>
        <v>243</v>
      </c>
      <c r="F28" s="12">
        <f>Sheet1!J25</f>
        <v>253</v>
      </c>
      <c r="G28" s="12">
        <f>Sheet1!K25</f>
        <v>270</v>
      </c>
      <c r="H28" s="12">
        <f>Sheet1!L25</f>
        <v>298</v>
      </c>
      <c r="I28" s="12">
        <f>Sheet1!M25</f>
        <v>325</v>
      </c>
    </row>
    <row r="29" spans="1:9" ht="14.65" thickBot="1" x14ac:dyDescent="0.5">
      <c r="B29" s="12" t="str">
        <f>Sheet1!B26</f>
        <v>Furniture n fittings</v>
      </c>
      <c r="C29" s="12"/>
      <c r="D29" s="12"/>
      <c r="E29" s="12">
        <f>Sheet1!I26</f>
        <v>99</v>
      </c>
      <c r="F29" s="12">
        <f>Sheet1!J26</f>
        <v>113</v>
      </c>
      <c r="G29" s="12">
        <f>Sheet1!K26</f>
        <v>146</v>
      </c>
      <c r="H29" s="12">
        <f>Sheet1!L26</f>
        <v>175</v>
      </c>
      <c r="I29" s="12">
        <f>Sheet1!M26</f>
        <v>203</v>
      </c>
    </row>
    <row r="30" spans="1:9" ht="14.65" thickBot="1" x14ac:dyDescent="0.5">
      <c r="B30" s="12" t="str">
        <f>Sheet1!B27</f>
        <v>Vehicles</v>
      </c>
      <c r="C30" s="12"/>
      <c r="D30" s="12"/>
      <c r="E30" s="12">
        <f>Sheet1!I27</f>
        <v>38</v>
      </c>
      <c r="F30" s="12">
        <f>Sheet1!J27</f>
        <v>32</v>
      </c>
      <c r="G30" s="12">
        <f>Sheet1!K27</f>
        <v>36</v>
      </c>
      <c r="H30" s="12">
        <f>Sheet1!L27</f>
        <v>40</v>
      </c>
      <c r="I30" s="12">
        <f>Sheet1!M27</f>
        <v>39</v>
      </c>
    </row>
    <row r="31" spans="1:9" ht="14.65" thickBot="1" x14ac:dyDescent="0.5">
      <c r="B31" s="12" t="str">
        <f>Sheet1!B28</f>
        <v>Intangible Assets</v>
      </c>
      <c r="C31" s="12"/>
      <c r="D31" s="12"/>
      <c r="E31" s="12">
        <f>Sheet1!I28</f>
        <v>476</v>
      </c>
      <c r="F31" s="12">
        <f>Sheet1!J28</f>
        <v>345</v>
      </c>
      <c r="G31" s="12">
        <f>Sheet1!K28</f>
        <v>422</v>
      </c>
      <c r="H31" s="12">
        <f>Sheet1!L28</f>
        <v>850</v>
      </c>
      <c r="I31" s="12">
        <f>Sheet1!M28</f>
        <v>827</v>
      </c>
    </row>
    <row r="32" spans="1:9" ht="14.65" thickBot="1" x14ac:dyDescent="0.5">
      <c r="B32" s="12" t="str">
        <f>Sheet1!B29</f>
        <v>Other fixed assets</v>
      </c>
      <c r="C32" s="12"/>
      <c r="D32" s="12"/>
      <c r="E32" s="12">
        <f>Sheet1!I29</f>
        <v>302</v>
      </c>
      <c r="F32" s="12">
        <f>Sheet1!J29</f>
        <v>294</v>
      </c>
      <c r="G32" s="12">
        <f>Sheet1!K29</f>
        <v>289</v>
      </c>
      <c r="H32" s="12">
        <f>Sheet1!L29</f>
        <v>321</v>
      </c>
      <c r="I32" s="12">
        <f>Sheet1!M29</f>
        <v>328</v>
      </c>
    </row>
    <row r="33" spans="1:9" ht="14.65" thickBot="1" x14ac:dyDescent="0.5">
      <c r="A33" s="19" t="s">
        <v>98</v>
      </c>
      <c r="B33" s="28" t="s">
        <v>22</v>
      </c>
      <c r="C33" s="29"/>
      <c r="D33" s="29"/>
      <c r="E33" s="28">
        <f>SUM(E25:E32)</f>
        <v>8391</v>
      </c>
      <c r="F33" s="28">
        <f t="shared" ref="F33:I33" si="2">SUM(F25:F32)</f>
        <v>8537</v>
      </c>
      <c r="G33" s="28">
        <f t="shared" si="2"/>
        <v>9675</v>
      </c>
      <c r="H33" s="28">
        <f t="shared" si="2"/>
        <v>11622</v>
      </c>
      <c r="I33" s="28">
        <f t="shared" si="2"/>
        <v>14484</v>
      </c>
    </row>
    <row r="34" spans="1:9" ht="14.65" thickBot="1" x14ac:dyDescent="0.5">
      <c r="B34" s="12" t="s">
        <v>23</v>
      </c>
      <c r="C34" s="12"/>
      <c r="D34" s="12"/>
      <c r="E34" s="30">
        <f>-Sheet1!I31</f>
        <v>-2533</v>
      </c>
      <c r="F34" s="30">
        <f>-Sheet1!J31</f>
        <v>-3019</v>
      </c>
      <c r="G34" s="30">
        <f>-Sheet1!K31</f>
        <v>-3905</v>
      </c>
      <c r="H34" s="30">
        <f>-Sheet1!L31</f>
        <v>-4475</v>
      </c>
      <c r="I34" s="30">
        <f>-Sheet1!M31</f>
        <v>-5264</v>
      </c>
    </row>
    <row r="35" spans="1:9" ht="14.65" thickBot="1" x14ac:dyDescent="0.5">
      <c r="A35" s="19" t="s">
        <v>98</v>
      </c>
      <c r="B35" s="18" t="s">
        <v>44</v>
      </c>
      <c r="C35" s="26"/>
      <c r="D35" s="26"/>
      <c r="E35" s="27">
        <f>E33+E34</f>
        <v>5858</v>
      </c>
      <c r="F35" s="27">
        <f t="shared" ref="F35:I35" si="3">F33+F34</f>
        <v>5518</v>
      </c>
      <c r="G35" s="27">
        <f t="shared" si="3"/>
        <v>5770</v>
      </c>
      <c r="H35" s="27">
        <f t="shared" si="3"/>
        <v>7147</v>
      </c>
      <c r="I35" s="27">
        <f t="shared" si="3"/>
        <v>9220</v>
      </c>
    </row>
    <row r="36" spans="1:9" ht="14.65" thickTop="1" x14ac:dyDescent="0.45"/>
    <row r="37" spans="1:9" x14ac:dyDescent="0.45">
      <c r="B37" s="50" t="s">
        <v>43</v>
      </c>
      <c r="C37" s="51"/>
      <c r="D37" s="51"/>
      <c r="E37" s="52">
        <f>SUM(E35+E22)</f>
        <v>8792</v>
      </c>
      <c r="F37" s="52">
        <f t="shared" ref="F37:I37" si="4">SUM(F35+F22)</f>
        <v>11247</v>
      </c>
      <c r="G37" s="52">
        <f t="shared" si="4"/>
        <v>12254</v>
      </c>
      <c r="H37" s="52">
        <f t="shared" si="4"/>
        <v>13529</v>
      </c>
      <c r="I37" s="52">
        <f t="shared" si="4"/>
        <v>15588</v>
      </c>
    </row>
    <row r="38" spans="1:9" x14ac:dyDescent="0.45">
      <c r="B38" s="50" t="s">
        <v>45</v>
      </c>
      <c r="C38" s="50"/>
      <c r="D38" s="50"/>
      <c r="E38" s="52">
        <f>'Raw Data'!I10+'Raw Data'!I8</f>
        <v>4396</v>
      </c>
      <c r="F38" s="52">
        <f>'Raw Data'!J10+'Raw Data'!J8</f>
        <v>4283</v>
      </c>
      <c r="G38" s="52">
        <f>'Raw Data'!K10+'Raw Data'!K8</f>
        <v>5833</v>
      </c>
      <c r="H38" s="52">
        <f>'Raw Data'!L10+'Raw Data'!L8</f>
        <v>7553</v>
      </c>
      <c r="I38" s="52">
        <f>'Raw Data'!M10+'Raw Data'!M8</f>
        <v>5330</v>
      </c>
    </row>
    <row r="39" spans="1:9" ht="14.65" thickBot="1" x14ac:dyDescent="0.5"/>
    <row r="40" spans="1:9" ht="14.65" thickBot="1" x14ac:dyDescent="0.5">
      <c r="A40" s="19" t="s">
        <v>98</v>
      </c>
      <c r="B40" s="34" t="s">
        <v>57</v>
      </c>
      <c r="C40" s="35"/>
      <c r="D40" s="35"/>
      <c r="E40" s="36">
        <f>E38/E37</f>
        <v>0.5</v>
      </c>
      <c r="F40" s="36">
        <f t="shared" ref="F40:I40" si="5">F38/F37</f>
        <v>0.38081266115408552</v>
      </c>
      <c r="G40" s="36">
        <f t="shared" si="5"/>
        <v>0.47600783417659542</v>
      </c>
      <c r="H40" s="36">
        <f t="shared" si="5"/>
        <v>0.55828220858895705</v>
      </c>
      <c r="I40" s="36">
        <f t="shared" si="5"/>
        <v>0.34192968950474723</v>
      </c>
    </row>
    <row r="41" spans="1:9" ht="14.65" thickTop="1" x14ac:dyDescent="0.45"/>
    <row r="44" spans="1:9" x14ac:dyDescent="0.45">
      <c r="B44" s="10" t="s">
        <v>58</v>
      </c>
      <c r="C44" s="21"/>
      <c r="D44" s="21"/>
      <c r="E44" s="11">
        <v>44256</v>
      </c>
      <c r="F44" s="11">
        <v>44621</v>
      </c>
      <c r="G44" s="11">
        <v>44986</v>
      </c>
      <c r="H44" s="11">
        <v>45352</v>
      </c>
      <c r="I44" s="11">
        <v>45717</v>
      </c>
    </row>
    <row r="45" spans="1:9" ht="14.65" thickBot="1" x14ac:dyDescent="0.5"/>
    <row r="46" spans="1:9" ht="14.65" thickBot="1" x14ac:dyDescent="0.5">
      <c r="A46" s="19" t="s">
        <v>98</v>
      </c>
      <c r="B46" s="12" t="s">
        <v>59</v>
      </c>
      <c r="C46" s="12"/>
      <c r="D46" s="12"/>
      <c r="E46" s="25">
        <f>-SUM(Sheet1!I56:I57)</f>
        <v>261</v>
      </c>
      <c r="F46" s="25">
        <f>-SUM(Sheet1!J56:J57)</f>
        <v>511</v>
      </c>
      <c r="G46" s="25">
        <f>-SUM(Sheet1!K56:K57)</f>
        <v>1420</v>
      </c>
      <c r="H46" s="25">
        <f>-SUM(Sheet1!L56:L57)</f>
        <v>2491</v>
      </c>
      <c r="I46" s="25">
        <f>-SUM(Sheet1!M56:M57)</f>
        <v>1820</v>
      </c>
    </row>
    <row r="47" spans="1:9" x14ac:dyDescent="0.45">
      <c r="B47" s="29" t="s">
        <v>91</v>
      </c>
      <c r="C47" s="29"/>
      <c r="D47" s="29"/>
      <c r="E47" s="29"/>
      <c r="F47" s="48">
        <f>F22-E22</f>
        <v>2795</v>
      </c>
      <c r="G47" s="48">
        <f t="shared" ref="G47:I47" si="6">G22-F22</f>
        <v>755</v>
      </c>
      <c r="H47" s="48">
        <f t="shared" si="6"/>
        <v>-102</v>
      </c>
      <c r="I47" s="48">
        <f t="shared" si="6"/>
        <v>-14</v>
      </c>
    </row>
    <row r="49" spans="1:9" ht="14.65" thickBot="1" x14ac:dyDescent="0.5">
      <c r="B49" s="46" t="s">
        <v>45</v>
      </c>
      <c r="C49" s="46"/>
      <c r="D49" s="46"/>
      <c r="E49" s="47">
        <f>E38</f>
        <v>4396</v>
      </c>
      <c r="F49" s="47">
        <f t="shared" ref="F49:I49" si="7">F38</f>
        <v>4283</v>
      </c>
      <c r="G49" s="47">
        <f t="shared" si="7"/>
        <v>5833</v>
      </c>
      <c r="H49" s="47">
        <f t="shared" si="7"/>
        <v>7553</v>
      </c>
      <c r="I49" s="47">
        <f t="shared" si="7"/>
        <v>5330</v>
      </c>
    </row>
    <row r="50" spans="1:9" ht="14.65" thickBot="1" x14ac:dyDescent="0.5">
      <c r="B50" s="12" t="s">
        <v>92</v>
      </c>
      <c r="C50" s="12"/>
      <c r="D50" s="12"/>
      <c r="E50" s="44">
        <v>0.25</v>
      </c>
      <c r="F50" s="44">
        <v>0.25</v>
      </c>
      <c r="G50" s="44">
        <v>0.25</v>
      </c>
      <c r="H50" s="44">
        <v>0.25</v>
      </c>
      <c r="I50" s="44">
        <v>0.25</v>
      </c>
    </row>
    <row r="51" spans="1:9" ht="14.65" thickBot="1" x14ac:dyDescent="0.5">
      <c r="A51" s="19" t="s">
        <v>98</v>
      </c>
      <c r="B51" s="12" t="s">
        <v>93</v>
      </c>
      <c r="C51" s="12"/>
      <c r="D51" s="12"/>
      <c r="E51" s="45">
        <f>E49*(1-E50)</f>
        <v>3297</v>
      </c>
      <c r="F51" s="45">
        <f t="shared" ref="F51:I51" si="8">F49*(1-F50)</f>
        <v>3212.25</v>
      </c>
      <c r="G51" s="45">
        <f t="shared" si="8"/>
        <v>4374.75</v>
      </c>
      <c r="H51" s="45">
        <f t="shared" si="8"/>
        <v>5664.75</v>
      </c>
      <c r="I51" s="45">
        <f t="shared" si="8"/>
        <v>3997.5</v>
      </c>
    </row>
    <row r="53" spans="1:9" x14ac:dyDescent="0.45">
      <c r="B53" s="38" t="s">
        <v>101</v>
      </c>
      <c r="C53" s="38"/>
      <c r="D53" s="38"/>
      <c r="E53" s="38"/>
      <c r="F53" s="39">
        <f>SUM(F46:F47)</f>
        <v>3306</v>
      </c>
      <c r="G53" s="39">
        <f t="shared" ref="G53:I53" si="9">SUM(G46:G47)</f>
        <v>2175</v>
      </c>
      <c r="H53" s="39">
        <f t="shared" si="9"/>
        <v>2389</v>
      </c>
      <c r="I53" s="39">
        <f t="shared" si="9"/>
        <v>1806</v>
      </c>
    </row>
    <row r="54" spans="1:9" ht="14.65" thickBot="1" x14ac:dyDescent="0.5">
      <c r="F54" s="24"/>
      <c r="G54" s="24"/>
      <c r="H54" s="24"/>
      <c r="I54" s="24"/>
    </row>
    <row r="55" spans="1:9" ht="14.65" thickBot="1" x14ac:dyDescent="0.5">
      <c r="A55" s="19" t="s">
        <v>98</v>
      </c>
      <c r="B55" s="34" t="s">
        <v>99</v>
      </c>
      <c r="C55" s="34"/>
      <c r="D55" s="34"/>
      <c r="E55" s="34"/>
      <c r="F55" s="36">
        <f>F53/F51</f>
        <v>1.0291851505953771</v>
      </c>
      <c r="G55" s="36">
        <f t="shared" ref="G55:I55" si="10">G53/G51</f>
        <v>0.49717126692953884</v>
      </c>
      <c r="H55" s="36">
        <f t="shared" si="10"/>
        <v>0.42173087956220484</v>
      </c>
      <c r="I55" s="36">
        <f t="shared" si="10"/>
        <v>0.45178236397748595</v>
      </c>
    </row>
    <row r="56" spans="1:9" ht="14.65" thickTop="1" x14ac:dyDescent="0.45"/>
    <row r="57" spans="1:9" x14ac:dyDescent="0.45">
      <c r="H57" t="s">
        <v>94</v>
      </c>
      <c r="I57" s="33">
        <f>AVERAGE(F55:I55)</f>
        <v>0.5999674152661516</v>
      </c>
    </row>
    <row r="58" spans="1:9" x14ac:dyDescent="0.45">
      <c r="H58" t="s">
        <v>95</v>
      </c>
      <c r="I58" s="37">
        <f>MEDIAN(F55:I55)</f>
        <v>0.47447681545351239</v>
      </c>
    </row>
    <row r="61" spans="1:9" x14ac:dyDescent="0.45">
      <c r="B61" s="10" t="s">
        <v>96</v>
      </c>
      <c r="C61" s="21"/>
      <c r="D61" s="21"/>
      <c r="E61" s="11">
        <v>44256</v>
      </c>
      <c r="F61" s="11">
        <v>44621</v>
      </c>
      <c r="G61" s="11">
        <v>44986</v>
      </c>
      <c r="H61" s="11">
        <v>45352</v>
      </c>
      <c r="I61" s="11">
        <v>45717</v>
      </c>
    </row>
    <row r="63" spans="1:9" x14ac:dyDescent="0.45">
      <c r="B63" s="40" t="str">
        <f>B55</f>
        <v>Reinvestment Rate</v>
      </c>
      <c r="C63" s="40"/>
      <c r="D63" s="40"/>
      <c r="E63" s="40"/>
      <c r="F63" s="41">
        <f>F55</f>
        <v>1.0291851505953771</v>
      </c>
      <c r="G63" s="41">
        <f t="shared" ref="G63:I63" si="11">G55</f>
        <v>0.49717126692953884</v>
      </c>
      <c r="H63" s="41">
        <f t="shared" si="11"/>
        <v>0.42173087956220484</v>
      </c>
      <c r="I63" s="41">
        <f t="shared" si="11"/>
        <v>0.45178236397748595</v>
      </c>
    </row>
    <row r="64" spans="1:9" x14ac:dyDescent="0.45">
      <c r="B64" s="42" t="s">
        <v>57</v>
      </c>
      <c r="C64" s="42"/>
      <c r="D64" s="42"/>
      <c r="E64" s="42"/>
      <c r="F64" s="43">
        <f>E40</f>
        <v>0.5</v>
      </c>
      <c r="G64" s="43">
        <f t="shared" ref="G64:I64" si="12">F40</f>
        <v>0.38081266115408552</v>
      </c>
      <c r="H64" s="43">
        <f t="shared" si="12"/>
        <v>0.47600783417659542</v>
      </c>
      <c r="I64" s="43">
        <f t="shared" si="12"/>
        <v>0.55828220858895705</v>
      </c>
    </row>
    <row r="65" spans="1:9" ht="14.65" thickBot="1" x14ac:dyDescent="0.5"/>
    <row r="66" spans="1:9" ht="14.65" thickBot="1" x14ac:dyDescent="0.5">
      <c r="A66" s="19" t="s">
        <v>98</v>
      </c>
      <c r="B66" s="34" t="s">
        <v>97</v>
      </c>
      <c r="C66" s="34"/>
      <c r="D66" s="34"/>
      <c r="E66" s="34"/>
      <c r="F66" s="49">
        <f>F63*F64</f>
        <v>0.51459257529768854</v>
      </c>
      <c r="G66" s="49">
        <f t="shared" ref="G66:I66" si="13">G63*G64</f>
        <v>0.18932911320878587</v>
      </c>
      <c r="H66" s="49">
        <f t="shared" si="13"/>
        <v>0.20074720258579573</v>
      </c>
      <c r="I66" s="49">
        <f t="shared" si="13"/>
        <v>0.25222205596289093</v>
      </c>
    </row>
    <row r="67" spans="1:9" ht="14.65" thickTop="1" x14ac:dyDescent="0.45"/>
  </sheetData>
  <mergeCells count="1">
    <mergeCell ref="B3:I4"/>
  </mergeCells>
  <pageMargins left="0.7" right="0.7" top="0.75" bottom="0.75" header="0.3" footer="0.3"/>
  <ignoredErrors>
    <ignoredError sqref="E46:I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5E59-8416-4BB2-8506-DF69CC4F3F36}">
  <dimension ref="B2:N47"/>
  <sheetViews>
    <sheetView workbookViewId="0">
      <selection activeCell="D7" sqref="D7"/>
    </sheetView>
  </sheetViews>
  <sheetFormatPr defaultRowHeight="14.25" x14ac:dyDescent="0.45"/>
  <cols>
    <col min="1" max="1" width="2.06640625" customWidth="1"/>
    <col min="2" max="2" width="24.6640625" bestFit="1" customWidth="1"/>
  </cols>
  <sheetData>
    <row r="2" spans="2:14" x14ac:dyDescent="0.45">
      <c r="B2" s="1" t="s">
        <v>32</v>
      </c>
      <c r="C2" s="57">
        <v>42064</v>
      </c>
      <c r="D2" s="57">
        <v>42430</v>
      </c>
      <c r="E2" s="57">
        <v>42795</v>
      </c>
      <c r="F2" s="57">
        <v>43160</v>
      </c>
      <c r="G2" s="57">
        <v>43525</v>
      </c>
      <c r="H2" s="57">
        <v>43891</v>
      </c>
      <c r="I2" s="57">
        <v>44256</v>
      </c>
      <c r="J2" s="57">
        <v>44621</v>
      </c>
      <c r="K2" s="57">
        <v>44986</v>
      </c>
      <c r="L2" s="57">
        <v>45352</v>
      </c>
      <c r="M2" s="57">
        <v>45717</v>
      </c>
      <c r="N2" s="57">
        <v>46082</v>
      </c>
    </row>
    <row r="3" spans="2:14" x14ac:dyDescent="0.45">
      <c r="B3" t="s">
        <v>53</v>
      </c>
      <c r="C3" s="2">
        <v>13615</v>
      </c>
      <c r="D3" s="2">
        <v>14271</v>
      </c>
      <c r="E3" s="2">
        <v>15062</v>
      </c>
      <c r="F3" s="2">
        <v>16825</v>
      </c>
      <c r="G3" s="2">
        <v>19240</v>
      </c>
      <c r="H3" s="2">
        <v>20211</v>
      </c>
      <c r="I3" s="2">
        <v>21713</v>
      </c>
      <c r="J3" s="2">
        <v>29101</v>
      </c>
      <c r="K3" s="2">
        <v>34489</v>
      </c>
      <c r="L3" s="2">
        <v>35495</v>
      </c>
      <c r="M3" s="2">
        <v>33906</v>
      </c>
      <c r="N3" s="2">
        <v>35584</v>
      </c>
    </row>
    <row r="4" spans="2:14" x14ac:dyDescent="0.45">
      <c r="B4" t="s">
        <v>54</v>
      </c>
      <c r="C4" s="2">
        <v>11372</v>
      </c>
      <c r="D4" s="2">
        <v>11546</v>
      </c>
      <c r="E4" s="2">
        <v>12068</v>
      </c>
      <c r="F4" s="2">
        <v>13621</v>
      </c>
      <c r="G4" s="2">
        <v>15475</v>
      </c>
      <c r="H4" s="2">
        <v>16049</v>
      </c>
      <c r="I4" s="2">
        <v>16857</v>
      </c>
      <c r="J4" s="2">
        <v>24298</v>
      </c>
      <c r="K4" s="2">
        <v>28229</v>
      </c>
      <c r="L4" s="2">
        <v>27910</v>
      </c>
      <c r="M4" s="2">
        <v>27899</v>
      </c>
      <c r="N4" s="2">
        <v>28884</v>
      </c>
    </row>
    <row r="5" spans="2:14" x14ac:dyDescent="0.45">
      <c r="B5" t="s">
        <v>46</v>
      </c>
      <c r="C5" s="2">
        <v>2243</v>
      </c>
      <c r="D5" s="2">
        <v>2725</v>
      </c>
      <c r="E5" s="2">
        <v>2994</v>
      </c>
      <c r="F5" s="2">
        <v>3204</v>
      </c>
      <c r="G5" s="2">
        <v>3765</v>
      </c>
      <c r="H5" s="2">
        <v>4162</v>
      </c>
      <c r="I5" s="2">
        <v>4856</v>
      </c>
      <c r="J5" s="2">
        <v>4804</v>
      </c>
      <c r="K5" s="2">
        <v>6260</v>
      </c>
      <c r="L5" s="2">
        <v>7585</v>
      </c>
      <c r="M5" s="2">
        <v>6006</v>
      </c>
      <c r="N5" s="2">
        <v>6700</v>
      </c>
    </row>
    <row r="6" spans="2:14" x14ac:dyDescent="0.45">
      <c r="B6" t="s">
        <v>47</v>
      </c>
      <c r="C6" s="31">
        <v>0.16</v>
      </c>
      <c r="D6" s="31">
        <v>0.19</v>
      </c>
      <c r="E6" s="31">
        <v>0.2</v>
      </c>
      <c r="F6" s="31">
        <v>0.19</v>
      </c>
      <c r="G6" s="31">
        <v>0.2</v>
      </c>
      <c r="H6" s="31">
        <v>0.21</v>
      </c>
      <c r="I6" s="31">
        <v>0.22</v>
      </c>
      <c r="J6" s="31">
        <v>0.17</v>
      </c>
      <c r="K6" s="31">
        <v>0.18</v>
      </c>
      <c r="L6" s="31">
        <v>0.21</v>
      </c>
      <c r="M6" s="31">
        <v>0.18</v>
      </c>
      <c r="N6" s="31">
        <v>0.19</v>
      </c>
    </row>
    <row r="7" spans="2:14" x14ac:dyDescent="0.45">
      <c r="B7" t="s">
        <v>55</v>
      </c>
      <c r="C7">
        <v>142</v>
      </c>
      <c r="D7">
        <v>213</v>
      </c>
      <c r="E7">
        <v>338</v>
      </c>
      <c r="F7">
        <v>336</v>
      </c>
      <c r="G7">
        <v>274</v>
      </c>
      <c r="H7">
        <v>350</v>
      </c>
      <c r="I7">
        <v>332</v>
      </c>
      <c r="J7">
        <v>296</v>
      </c>
      <c r="K7">
        <v>431</v>
      </c>
      <c r="L7">
        <v>821</v>
      </c>
      <c r="M7">
        <v>350</v>
      </c>
      <c r="N7">
        <v>728</v>
      </c>
    </row>
    <row r="8" spans="2:14" x14ac:dyDescent="0.45">
      <c r="B8" t="s">
        <v>48</v>
      </c>
      <c r="C8">
        <v>42</v>
      </c>
      <c r="D8">
        <v>49</v>
      </c>
      <c r="E8">
        <v>37</v>
      </c>
      <c r="F8">
        <v>41</v>
      </c>
      <c r="G8">
        <v>110</v>
      </c>
      <c r="H8">
        <v>102</v>
      </c>
      <c r="I8">
        <v>92</v>
      </c>
      <c r="J8">
        <v>95</v>
      </c>
      <c r="K8">
        <v>144</v>
      </c>
      <c r="L8">
        <v>205</v>
      </c>
      <c r="M8">
        <v>227</v>
      </c>
      <c r="N8">
        <v>195</v>
      </c>
    </row>
    <row r="9" spans="2:14" x14ac:dyDescent="0.45">
      <c r="B9" t="s">
        <v>49</v>
      </c>
      <c r="C9">
        <v>266</v>
      </c>
      <c r="D9">
        <v>276</v>
      </c>
      <c r="E9">
        <v>335</v>
      </c>
      <c r="F9">
        <v>360</v>
      </c>
      <c r="G9">
        <v>622</v>
      </c>
      <c r="H9">
        <v>780</v>
      </c>
      <c r="I9">
        <v>791</v>
      </c>
      <c r="J9">
        <v>816</v>
      </c>
      <c r="K9">
        <v>858</v>
      </c>
      <c r="L9">
        <v>853</v>
      </c>
      <c r="M9" s="2">
        <v>1026</v>
      </c>
      <c r="N9" s="2">
        <v>1229</v>
      </c>
    </row>
    <row r="10" spans="2:14" x14ac:dyDescent="0.45">
      <c r="B10" s="1" t="s">
        <v>50</v>
      </c>
      <c r="C10" s="7">
        <v>2077</v>
      </c>
      <c r="D10" s="7">
        <v>2614</v>
      </c>
      <c r="E10" s="7">
        <v>2960</v>
      </c>
      <c r="F10" s="7">
        <v>3138</v>
      </c>
      <c r="G10" s="7">
        <v>3306</v>
      </c>
      <c r="H10" s="7">
        <v>3629</v>
      </c>
      <c r="I10" s="7">
        <v>4304</v>
      </c>
      <c r="J10" s="7">
        <v>4188</v>
      </c>
      <c r="K10" s="7">
        <v>5689</v>
      </c>
      <c r="L10" s="7">
        <v>7348</v>
      </c>
      <c r="M10" s="7">
        <v>5103</v>
      </c>
      <c r="N10" s="7">
        <v>6003</v>
      </c>
    </row>
    <row r="11" spans="2:14" x14ac:dyDescent="0.45">
      <c r="B11" t="s">
        <v>51</v>
      </c>
      <c r="C11" s="31">
        <v>0.31</v>
      </c>
      <c r="D11" s="31">
        <v>0.32</v>
      </c>
      <c r="E11" s="31">
        <v>0.32</v>
      </c>
      <c r="F11" s="32">
        <v>0.33</v>
      </c>
      <c r="G11" s="31">
        <v>0.33</v>
      </c>
      <c r="H11" s="31">
        <v>0.24</v>
      </c>
      <c r="I11" s="31">
        <v>0.26</v>
      </c>
      <c r="J11" s="31">
        <v>0.26</v>
      </c>
      <c r="K11" s="31">
        <v>0.26</v>
      </c>
      <c r="L11" s="31">
        <v>0.24</v>
      </c>
      <c r="M11" s="31">
        <v>0.27</v>
      </c>
      <c r="N11" s="31">
        <v>0.27</v>
      </c>
    </row>
    <row r="12" spans="2:14" x14ac:dyDescent="0.45">
      <c r="B12" s="1" t="s">
        <v>56</v>
      </c>
      <c r="C12" s="7">
        <v>1427</v>
      </c>
      <c r="D12" s="7">
        <v>1803</v>
      </c>
      <c r="E12" s="7">
        <v>2016</v>
      </c>
      <c r="F12" s="7">
        <v>2098</v>
      </c>
      <c r="G12" s="7">
        <v>2208</v>
      </c>
      <c r="H12" s="7">
        <v>2774</v>
      </c>
      <c r="I12" s="7">
        <v>3207</v>
      </c>
      <c r="J12" s="7">
        <v>3085</v>
      </c>
      <c r="K12" s="7">
        <v>4195</v>
      </c>
      <c r="L12" s="7">
        <v>5558</v>
      </c>
      <c r="M12" s="7">
        <v>3710</v>
      </c>
      <c r="N12" s="7">
        <v>4395</v>
      </c>
    </row>
    <row r="13" spans="2:14" x14ac:dyDescent="0.45">
      <c r="B13" t="s">
        <v>52</v>
      </c>
      <c r="C13">
        <v>14.54</v>
      </c>
      <c r="D13">
        <v>18.190000000000001</v>
      </c>
      <c r="E13">
        <v>20.22</v>
      </c>
      <c r="F13">
        <v>21.26</v>
      </c>
      <c r="G13">
        <v>22.48</v>
      </c>
      <c r="H13">
        <v>28.2</v>
      </c>
      <c r="I13">
        <v>32.729999999999997</v>
      </c>
      <c r="J13">
        <v>31.59</v>
      </c>
      <c r="K13">
        <v>42.81</v>
      </c>
      <c r="L13">
        <v>56.92</v>
      </c>
      <c r="M13">
        <v>38.229999999999997</v>
      </c>
      <c r="N13">
        <v>45.09</v>
      </c>
    </row>
    <row r="17" spans="2:14" x14ac:dyDescent="0.45">
      <c r="B17" s="1" t="s">
        <v>90</v>
      </c>
      <c r="C17" s="3">
        <v>42064</v>
      </c>
      <c r="D17" s="3">
        <v>42430</v>
      </c>
      <c r="E17" s="3">
        <v>42795</v>
      </c>
      <c r="F17" s="3">
        <v>43160</v>
      </c>
      <c r="G17" s="3">
        <v>43525</v>
      </c>
      <c r="H17" s="3">
        <v>43891</v>
      </c>
      <c r="I17" s="3">
        <v>44256</v>
      </c>
      <c r="J17" s="3">
        <v>44621</v>
      </c>
      <c r="K17" s="3">
        <v>44986</v>
      </c>
      <c r="L17" s="3">
        <v>45352</v>
      </c>
      <c r="M17" s="3">
        <v>45717</v>
      </c>
      <c r="N17" s="3">
        <v>46082</v>
      </c>
    </row>
    <row r="18" spans="2:14" x14ac:dyDescent="0.45">
      <c r="B18" t="s">
        <v>60</v>
      </c>
      <c r="C18" s="2">
        <v>1188</v>
      </c>
      <c r="D18" s="2">
        <v>2243</v>
      </c>
      <c r="E18" s="2">
        <v>1527</v>
      </c>
      <c r="F18" s="2">
        <v>2113</v>
      </c>
      <c r="G18" s="2">
        <v>2470</v>
      </c>
      <c r="H18" s="2">
        <v>3038</v>
      </c>
      <c r="I18" s="2">
        <v>3683</v>
      </c>
      <c r="J18">
        <v>986</v>
      </c>
      <c r="K18" s="2">
        <v>4193</v>
      </c>
      <c r="L18" s="2">
        <v>6104</v>
      </c>
      <c r="M18" s="2">
        <v>4424</v>
      </c>
      <c r="N18" s="2">
        <v>7088</v>
      </c>
    </row>
    <row r="19" spans="2:14" x14ac:dyDescent="0.45">
      <c r="B19" t="s">
        <v>61</v>
      </c>
      <c r="C19" s="2">
        <v>2271</v>
      </c>
      <c r="D19" s="2">
        <v>2848</v>
      </c>
      <c r="E19" s="2">
        <v>3056</v>
      </c>
      <c r="F19" s="2">
        <v>3274</v>
      </c>
      <c r="G19" s="2">
        <v>3861</v>
      </c>
      <c r="H19" s="2">
        <v>4380</v>
      </c>
      <c r="I19" s="2">
        <v>4970</v>
      </c>
      <c r="J19" s="2">
        <v>4957</v>
      </c>
      <c r="K19" s="2">
        <v>6460</v>
      </c>
      <c r="L19" s="2">
        <v>7929</v>
      </c>
      <c r="M19" s="2">
        <v>6390</v>
      </c>
      <c r="N19" s="2">
        <v>7186</v>
      </c>
    </row>
    <row r="20" spans="2:14" x14ac:dyDescent="0.45">
      <c r="B20" t="s">
        <v>62</v>
      </c>
      <c r="C20">
        <v>-155</v>
      </c>
      <c r="D20">
        <v>-146</v>
      </c>
      <c r="E20">
        <v>-475</v>
      </c>
      <c r="F20">
        <v>-483</v>
      </c>
      <c r="G20">
        <v>-205</v>
      </c>
      <c r="H20">
        <v>160</v>
      </c>
      <c r="I20">
        <v>-849</v>
      </c>
      <c r="J20" s="2">
        <v>-1326</v>
      </c>
      <c r="K20">
        <v>-834</v>
      </c>
      <c r="L20">
        <v>-362</v>
      </c>
      <c r="M20">
        <v>282</v>
      </c>
      <c r="N20">
        <v>-274</v>
      </c>
    </row>
    <row r="21" spans="2:14" x14ac:dyDescent="0.45">
      <c r="B21" t="s">
        <v>63</v>
      </c>
      <c r="C21">
        <v>-144</v>
      </c>
      <c r="D21">
        <v>202</v>
      </c>
      <c r="E21">
        <v>-629</v>
      </c>
      <c r="F21">
        <v>-39</v>
      </c>
      <c r="G21">
        <v>-492</v>
      </c>
      <c r="H21">
        <v>-251</v>
      </c>
      <c r="I21">
        <v>-409</v>
      </c>
      <c r="J21" s="2">
        <v>-2354</v>
      </c>
      <c r="K21">
        <v>-56</v>
      </c>
      <c r="L21">
        <v>315</v>
      </c>
      <c r="M21">
        <v>-805</v>
      </c>
      <c r="N21">
        <v>976</v>
      </c>
    </row>
    <row r="22" spans="2:14" x14ac:dyDescent="0.45">
      <c r="B22" t="s">
        <v>64</v>
      </c>
      <c r="C22">
        <v>-151</v>
      </c>
      <c r="D22">
        <v>142</v>
      </c>
      <c r="E22">
        <v>501</v>
      </c>
      <c r="F22">
        <v>442</v>
      </c>
      <c r="G22">
        <v>287</v>
      </c>
      <c r="H22">
        <v>-241</v>
      </c>
      <c r="I22" s="2">
        <v>1143</v>
      </c>
      <c r="J22">
        <v>644</v>
      </c>
      <c r="K22">
        <v>-539</v>
      </c>
      <c r="L22">
        <v>269</v>
      </c>
      <c r="M22">
        <v>-160</v>
      </c>
      <c r="N22">
        <v>396</v>
      </c>
    </row>
    <row r="23" spans="2:14" x14ac:dyDescent="0.45"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-92</v>
      </c>
      <c r="J23">
        <v>242</v>
      </c>
      <c r="K23">
        <v>657</v>
      </c>
      <c r="L23">
        <v>-212</v>
      </c>
      <c r="M23">
        <v>114</v>
      </c>
      <c r="N23">
        <v>378</v>
      </c>
    </row>
    <row r="24" spans="2:14" x14ac:dyDescent="0.45">
      <c r="B24" t="s">
        <v>66</v>
      </c>
      <c r="C24">
        <v>-450</v>
      </c>
      <c r="D24">
        <v>198</v>
      </c>
      <c r="E24">
        <v>-603</v>
      </c>
      <c r="F24">
        <v>-80</v>
      </c>
      <c r="G24">
        <v>-410</v>
      </c>
      <c r="H24">
        <v>-331</v>
      </c>
      <c r="I24">
        <v>-206</v>
      </c>
      <c r="J24" s="2">
        <v>-2795</v>
      </c>
      <c r="K24">
        <v>-772</v>
      </c>
      <c r="L24">
        <v>10</v>
      </c>
      <c r="M24">
        <v>-570</v>
      </c>
      <c r="N24" s="2">
        <v>1476</v>
      </c>
    </row>
    <row r="25" spans="2:14" x14ac:dyDescent="0.45">
      <c r="B25" t="s">
        <v>67</v>
      </c>
      <c r="C25">
        <v>-633</v>
      </c>
      <c r="D25">
        <v>-802</v>
      </c>
      <c r="E25">
        <v>-925</v>
      </c>
      <c r="F25" s="2">
        <v>-1081</v>
      </c>
      <c r="G25">
        <v>-982</v>
      </c>
      <c r="H25" s="2">
        <v>-1011</v>
      </c>
      <c r="I25" s="2">
        <v>-1080</v>
      </c>
      <c r="J25" s="2">
        <v>-1176</v>
      </c>
      <c r="K25" s="2">
        <v>-1494</v>
      </c>
      <c r="L25" s="2">
        <v>-1835</v>
      </c>
      <c r="M25" s="2">
        <v>-1396</v>
      </c>
      <c r="N25" s="2">
        <v>-1574</v>
      </c>
    </row>
    <row r="26" spans="2:14" x14ac:dyDescent="0.45">
      <c r="B26" t="s">
        <v>68</v>
      </c>
      <c r="C26">
        <v>-465</v>
      </c>
      <c r="D26">
        <v>-866</v>
      </c>
      <c r="E26">
        <v>-681</v>
      </c>
      <c r="F26" s="2">
        <v>-1556</v>
      </c>
      <c r="G26">
        <v>-918</v>
      </c>
      <c r="H26">
        <v>-518</v>
      </c>
      <c r="I26">
        <v>-541</v>
      </c>
      <c r="J26">
        <v>-317</v>
      </c>
      <c r="K26" s="2">
        <v>-1282</v>
      </c>
      <c r="L26" s="2">
        <v>-2548</v>
      </c>
      <c r="M26">
        <v>-941</v>
      </c>
      <c r="N26" s="2">
        <v>-1328</v>
      </c>
    </row>
    <row r="27" spans="2:14" x14ac:dyDescent="0.45">
      <c r="B27" t="s">
        <v>69</v>
      </c>
      <c r="C27">
        <v>-454</v>
      </c>
      <c r="D27">
        <v>-817</v>
      </c>
      <c r="E27">
        <v>-684</v>
      </c>
      <c r="F27" s="2">
        <v>-1426</v>
      </c>
      <c r="G27" s="2">
        <v>-1151</v>
      </c>
      <c r="H27">
        <v>-414</v>
      </c>
      <c r="I27">
        <v>-289</v>
      </c>
      <c r="J27">
        <v>-551</v>
      </c>
      <c r="K27" s="2">
        <v>-1446</v>
      </c>
      <c r="L27" s="2">
        <v>-2496</v>
      </c>
      <c r="M27" s="2">
        <v>-1830</v>
      </c>
      <c r="N27" s="2">
        <v>-1487</v>
      </c>
    </row>
    <row r="28" spans="2:14" x14ac:dyDescent="0.45">
      <c r="B28" t="s">
        <v>70</v>
      </c>
      <c r="C28">
        <v>16</v>
      </c>
      <c r="D28">
        <v>15</v>
      </c>
      <c r="E28">
        <v>17</v>
      </c>
      <c r="F28">
        <v>17</v>
      </c>
      <c r="G28">
        <v>17</v>
      </c>
      <c r="H28">
        <v>37</v>
      </c>
      <c r="I28">
        <v>28</v>
      </c>
      <c r="J28">
        <v>40</v>
      </c>
      <c r="K28">
        <v>26</v>
      </c>
      <c r="L28">
        <v>5</v>
      </c>
      <c r="M28">
        <v>10</v>
      </c>
      <c r="N28">
        <v>3</v>
      </c>
    </row>
    <row r="29" spans="2:14" x14ac:dyDescent="0.45">
      <c r="B29" t="s">
        <v>71</v>
      </c>
      <c r="C29">
        <v>-243</v>
      </c>
      <c r="D29">
        <v>-282</v>
      </c>
      <c r="E29">
        <v>-153</v>
      </c>
      <c r="F29">
        <v>-320</v>
      </c>
      <c r="G29">
        <v>-573</v>
      </c>
      <c r="H29">
        <v>-25</v>
      </c>
      <c r="I29">
        <v>-140</v>
      </c>
      <c r="J29">
        <v>0</v>
      </c>
      <c r="K29">
        <v>-146</v>
      </c>
      <c r="L29">
        <v>-212</v>
      </c>
      <c r="M29">
        <v>-1</v>
      </c>
      <c r="N29">
        <v>0</v>
      </c>
    </row>
    <row r="30" spans="2:14" x14ac:dyDescent="0.45">
      <c r="B30" t="s">
        <v>72</v>
      </c>
      <c r="C30">
        <v>278</v>
      </c>
      <c r="D30">
        <v>205</v>
      </c>
      <c r="E30">
        <v>357</v>
      </c>
      <c r="F30">
        <v>362</v>
      </c>
      <c r="G30">
        <v>733</v>
      </c>
      <c r="H30">
        <v>118</v>
      </c>
      <c r="I30">
        <v>272</v>
      </c>
      <c r="J30">
        <v>207</v>
      </c>
      <c r="K30">
        <v>446</v>
      </c>
      <c r="L30">
        <v>240</v>
      </c>
      <c r="M30">
        <v>421</v>
      </c>
      <c r="N30" s="2">
        <v>1197</v>
      </c>
    </row>
    <row r="31" spans="2:14" x14ac:dyDescent="0.45">
      <c r="B31" t="s">
        <v>73</v>
      </c>
      <c r="C31">
        <v>11</v>
      </c>
      <c r="D31">
        <v>15</v>
      </c>
      <c r="E31">
        <v>32</v>
      </c>
      <c r="F31">
        <v>39</v>
      </c>
      <c r="G31">
        <v>40</v>
      </c>
      <c r="H31">
        <v>65</v>
      </c>
      <c r="I31">
        <v>73</v>
      </c>
      <c r="J31">
        <v>77</v>
      </c>
      <c r="K31">
        <v>87</v>
      </c>
      <c r="L31">
        <v>135</v>
      </c>
      <c r="M31">
        <v>155</v>
      </c>
      <c r="N31">
        <v>153</v>
      </c>
    </row>
    <row r="32" spans="2:14" x14ac:dyDescent="0.45">
      <c r="B32" t="s">
        <v>74</v>
      </c>
      <c r="C32">
        <v>71</v>
      </c>
      <c r="D32">
        <v>69</v>
      </c>
      <c r="E32">
        <v>74</v>
      </c>
      <c r="F32">
        <v>38</v>
      </c>
      <c r="G32">
        <v>40</v>
      </c>
      <c r="H32">
        <v>27</v>
      </c>
      <c r="I32">
        <v>8</v>
      </c>
      <c r="J32">
        <v>15</v>
      </c>
      <c r="K32">
        <v>56</v>
      </c>
      <c r="L32">
        <v>129</v>
      </c>
      <c r="M32">
        <v>136</v>
      </c>
      <c r="N32">
        <v>118</v>
      </c>
    </row>
    <row r="33" spans="2:14" x14ac:dyDescent="0.45">
      <c r="B33" t="s">
        <v>75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-180</v>
      </c>
      <c r="L33">
        <v>0</v>
      </c>
      <c r="M33">
        <v>0</v>
      </c>
      <c r="N33">
        <v>0</v>
      </c>
    </row>
    <row r="34" spans="2:14" x14ac:dyDescent="0.45">
      <c r="B34" t="s">
        <v>76</v>
      </c>
      <c r="C34">
        <v>0</v>
      </c>
      <c r="D34">
        <v>0</v>
      </c>
      <c r="E34">
        <v>0</v>
      </c>
      <c r="F34">
        <v>141</v>
      </c>
      <c r="G34">
        <v>0</v>
      </c>
      <c r="H34">
        <v>17</v>
      </c>
      <c r="I34">
        <v>0</v>
      </c>
      <c r="J34">
        <v>0</v>
      </c>
      <c r="K34">
        <v>0</v>
      </c>
      <c r="L34">
        <v>0</v>
      </c>
      <c r="M34">
        <v>38</v>
      </c>
      <c r="N34">
        <v>0</v>
      </c>
    </row>
    <row r="35" spans="2:14" x14ac:dyDescent="0.45">
      <c r="B35" t="s">
        <v>77</v>
      </c>
      <c r="C35">
        <v>0</v>
      </c>
      <c r="D35">
        <v>0</v>
      </c>
      <c r="E35">
        <v>0</v>
      </c>
      <c r="F35">
        <v>-525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2:14" x14ac:dyDescent="0.45">
      <c r="B36" t="s">
        <v>78</v>
      </c>
      <c r="C36">
        <v>-144</v>
      </c>
      <c r="D36">
        <v>-70</v>
      </c>
      <c r="E36">
        <v>-324</v>
      </c>
      <c r="F36">
        <v>118</v>
      </c>
      <c r="G36">
        <v>-24</v>
      </c>
      <c r="H36">
        <v>-343</v>
      </c>
      <c r="I36">
        <v>-493</v>
      </c>
      <c r="J36">
        <v>-105</v>
      </c>
      <c r="K36">
        <v>-126</v>
      </c>
      <c r="L36">
        <v>-350</v>
      </c>
      <c r="M36">
        <v>130</v>
      </c>
      <c r="N36" s="2">
        <v>-1312</v>
      </c>
    </row>
    <row r="37" spans="2:14" x14ac:dyDescent="0.45">
      <c r="B37" t="s">
        <v>79</v>
      </c>
      <c r="C37">
        <v>-576</v>
      </c>
      <c r="D37">
        <v>-849</v>
      </c>
      <c r="E37">
        <v>-756</v>
      </c>
      <c r="F37" s="2">
        <v>-1379</v>
      </c>
      <c r="G37" s="2">
        <v>-1117</v>
      </c>
      <c r="H37" s="2">
        <v>-2871</v>
      </c>
      <c r="I37">
        <v>-650</v>
      </c>
      <c r="J37" s="2">
        <v>-1808</v>
      </c>
      <c r="K37" s="2">
        <v>-2140</v>
      </c>
      <c r="L37" s="2">
        <v>-2982</v>
      </c>
      <c r="M37" s="2">
        <v>-3753</v>
      </c>
      <c r="N37" s="2">
        <v>-2377</v>
      </c>
    </row>
    <row r="38" spans="2:14" x14ac:dyDescent="0.45"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</row>
    <row r="39" spans="2:14" x14ac:dyDescent="0.45">
      <c r="B39" t="s">
        <v>81</v>
      </c>
      <c r="C39">
        <v>239</v>
      </c>
      <c r="D39">
        <v>8</v>
      </c>
      <c r="E39">
        <v>271</v>
      </c>
      <c r="F39">
        <v>10</v>
      </c>
      <c r="G39">
        <v>243</v>
      </c>
      <c r="H39">
        <v>18</v>
      </c>
      <c r="I39">
        <v>155</v>
      </c>
      <c r="J39">
        <v>418</v>
      </c>
      <c r="K39">
        <v>254</v>
      </c>
      <c r="L39">
        <v>101</v>
      </c>
      <c r="M39">
        <v>415</v>
      </c>
      <c r="N39" s="2">
        <v>1279</v>
      </c>
    </row>
    <row r="40" spans="2:14" x14ac:dyDescent="0.45">
      <c r="B40" t="s">
        <v>82</v>
      </c>
      <c r="C40">
        <v>-86</v>
      </c>
      <c r="D40">
        <v>-119</v>
      </c>
      <c r="E40">
        <v>-58</v>
      </c>
      <c r="F40">
        <v>-54</v>
      </c>
      <c r="G40">
        <v>-26</v>
      </c>
      <c r="H40">
        <v>-482</v>
      </c>
      <c r="I40">
        <v>-14</v>
      </c>
      <c r="J40">
        <v>-8</v>
      </c>
      <c r="K40">
        <v>-25</v>
      </c>
      <c r="L40">
        <v>-98</v>
      </c>
      <c r="M40">
        <v>-428</v>
      </c>
      <c r="N40">
        <v>-32</v>
      </c>
    </row>
    <row r="41" spans="2:14" x14ac:dyDescent="0.45">
      <c r="B41" t="s">
        <v>83</v>
      </c>
      <c r="C41">
        <v>-35</v>
      </c>
      <c r="D41">
        <v>-40</v>
      </c>
      <c r="E41">
        <v>-36</v>
      </c>
      <c r="F41">
        <v>-35</v>
      </c>
      <c r="G41">
        <v>-106</v>
      </c>
      <c r="H41">
        <v>-101</v>
      </c>
      <c r="I41">
        <v>-89</v>
      </c>
      <c r="J41">
        <v>-94</v>
      </c>
      <c r="K41">
        <v>-142</v>
      </c>
      <c r="L41">
        <v>-191</v>
      </c>
      <c r="M41">
        <v>-203</v>
      </c>
      <c r="N41">
        <v>-228</v>
      </c>
    </row>
    <row r="42" spans="2:14" x14ac:dyDescent="0.45">
      <c r="B42" t="s">
        <v>84</v>
      </c>
      <c r="C42">
        <v>-695</v>
      </c>
      <c r="D42">
        <v>-764</v>
      </c>
      <c r="E42">
        <v>-947</v>
      </c>
      <c r="F42" s="2">
        <v>-1218</v>
      </c>
      <c r="G42" s="2">
        <v>-1049</v>
      </c>
      <c r="H42" s="2">
        <v>-2121</v>
      </c>
      <c r="I42">
        <v>-499</v>
      </c>
      <c r="J42" s="2">
        <v>-1763</v>
      </c>
      <c r="K42" s="2">
        <v>-1936</v>
      </c>
      <c r="L42" s="2">
        <v>-2551</v>
      </c>
      <c r="M42" s="2">
        <v>-3140</v>
      </c>
      <c r="N42" s="2">
        <v>-2425</v>
      </c>
    </row>
    <row r="43" spans="2:14" x14ac:dyDescent="0.45">
      <c r="B43" t="s">
        <v>85</v>
      </c>
      <c r="C43">
        <v>0</v>
      </c>
      <c r="D43">
        <v>0</v>
      </c>
      <c r="E43">
        <v>0</v>
      </c>
      <c r="F43">
        <v>0</v>
      </c>
      <c r="G43">
        <v>-180</v>
      </c>
      <c r="H43">
        <v>-179</v>
      </c>
      <c r="I43">
        <v>-203</v>
      </c>
      <c r="J43">
        <v>-221</v>
      </c>
      <c r="K43">
        <v>-256</v>
      </c>
      <c r="L43">
        <v>-286</v>
      </c>
      <c r="M43">
        <v>-325</v>
      </c>
      <c r="N43">
        <v>-340</v>
      </c>
    </row>
    <row r="44" spans="2:14" x14ac:dyDescent="0.45">
      <c r="B44" t="s">
        <v>86</v>
      </c>
      <c r="C44">
        <v>0</v>
      </c>
      <c r="D44">
        <v>66</v>
      </c>
      <c r="E44">
        <v>13</v>
      </c>
      <c r="F44">
        <v>-82</v>
      </c>
      <c r="G44">
        <v>0</v>
      </c>
      <c r="H44">
        <v>-6</v>
      </c>
      <c r="I44">
        <v>0</v>
      </c>
      <c r="J44">
        <v>-140</v>
      </c>
      <c r="K44">
        <v>-36</v>
      </c>
      <c r="L44">
        <v>41</v>
      </c>
      <c r="M44">
        <v>-72</v>
      </c>
      <c r="N44">
        <v>-629</v>
      </c>
    </row>
    <row r="45" spans="2:14" x14ac:dyDescent="0.45">
      <c r="B45" t="s">
        <v>87</v>
      </c>
      <c r="C45">
        <v>147</v>
      </c>
      <c r="D45">
        <v>528</v>
      </c>
      <c r="E45">
        <v>90</v>
      </c>
      <c r="F45">
        <v>-822</v>
      </c>
      <c r="G45">
        <v>434</v>
      </c>
      <c r="H45">
        <v>-351</v>
      </c>
      <c r="I45" s="2">
        <v>2492</v>
      </c>
      <c r="J45" s="2">
        <v>-1138</v>
      </c>
      <c r="K45">
        <v>771</v>
      </c>
      <c r="L45">
        <v>573</v>
      </c>
      <c r="M45">
        <v>-270</v>
      </c>
      <c r="N45" s="2">
        <v>3383</v>
      </c>
    </row>
    <row r="46" spans="2:14" x14ac:dyDescent="0.45">
      <c r="B46" t="s">
        <v>88</v>
      </c>
      <c r="C46">
        <v>750</v>
      </c>
      <c r="D46" s="2">
        <v>1441</v>
      </c>
      <c r="E46">
        <v>860</v>
      </c>
      <c r="F46">
        <v>705</v>
      </c>
      <c r="G46" s="2">
        <v>1336</v>
      </c>
      <c r="H46" s="2">
        <v>2661</v>
      </c>
      <c r="I46" s="2">
        <v>3422</v>
      </c>
      <c r="J46">
        <v>475</v>
      </c>
      <c r="K46" s="2">
        <v>2774</v>
      </c>
      <c r="L46" s="2">
        <v>3613</v>
      </c>
      <c r="M46" s="2">
        <v>2604</v>
      </c>
      <c r="N46" s="2">
        <v>5604</v>
      </c>
    </row>
    <row r="47" spans="2:14" x14ac:dyDescent="0.45">
      <c r="B47" t="s">
        <v>89</v>
      </c>
      <c r="C47" s="31">
        <v>0.81</v>
      </c>
      <c r="D47" s="31">
        <v>1.1200000000000001</v>
      </c>
      <c r="E47" s="31">
        <v>0.82</v>
      </c>
      <c r="F47" s="31">
        <v>1</v>
      </c>
      <c r="G47" s="31">
        <v>0.92</v>
      </c>
      <c r="H47" s="31">
        <v>0.97</v>
      </c>
      <c r="I47" s="31">
        <v>0.98</v>
      </c>
      <c r="J47" s="31">
        <v>0.45</v>
      </c>
      <c r="K47" s="31">
        <v>0.91</v>
      </c>
      <c r="L47" s="31">
        <v>1.05</v>
      </c>
      <c r="M47" s="31">
        <v>0.97</v>
      </c>
      <c r="N47" s="31">
        <v>1.29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B185-DAFD-4087-87EE-3B97C77B746E}">
  <dimension ref="B1:L39"/>
  <sheetViews>
    <sheetView showGridLines="0" tabSelected="1" workbookViewId="0">
      <selection activeCell="C30" sqref="C30"/>
    </sheetView>
  </sheetViews>
  <sheetFormatPr defaultRowHeight="14.25" x14ac:dyDescent="0.45"/>
  <cols>
    <col min="1" max="1" width="1.73046875" customWidth="1"/>
    <col min="2" max="2" width="20.73046875" bestFit="1" customWidth="1"/>
    <col min="3" max="3" width="11.59765625" bestFit="1" customWidth="1"/>
    <col min="5" max="5" width="7.796875" bestFit="1" customWidth="1"/>
  </cols>
  <sheetData>
    <row r="1" spans="2:12" x14ac:dyDescent="0.45">
      <c r="B1" s="71" t="s">
        <v>125</v>
      </c>
      <c r="C1" s="72"/>
      <c r="D1" s="72"/>
      <c r="E1" s="72"/>
      <c r="F1" s="72"/>
      <c r="G1" s="72"/>
      <c r="H1" s="72"/>
      <c r="I1" s="72"/>
      <c r="J1" s="72"/>
    </row>
    <row r="2" spans="2:12" x14ac:dyDescent="0.45">
      <c r="B2" s="72"/>
      <c r="C2" s="72"/>
      <c r="D2" s="72"/>
      <c r="E2" s="72"/>
      <c r="F2" s="72"/>
      <c r="G2" s="72"/>
      <c r="H2" s="72"/>
      <c r="I2" s="72"/>
      <c r="J2" s="72"/>
    </row>
    <row r="4" spans="2:12" x14ac:dyDescent="0.45">
      <c r="B4" s="10" t="s">
        <v>102</v>
      </c>
      <c r="C4" s="10"/>
      <c r="D4" s="10"/>
      <c r="E4" s="55">
        <f>ROIC!I6</f>
        <v>45717</v>
      </c>
      <c r="F4" s="56">
        <f>E4+365</f>
        <v>46082</v>
      </c>
      <c r="G4" s="56">
        <f t="shared" ref="G4" si="0">F4+365</f>
        <v>46447</v>
      </c>
      <c r="H4" s="56">
        <v>46813</v>
      </c>
      <c r="I4" s="56">
        <v>47178</v>
      </c>
      <c r="J4" s="56">
        <v>47543</v>
      </c>
    </row>
    <row r="5" spans="2:12" ht="14.65" thickBot="1" x14ac:dyDescent="0.5"/>
    <row r="6" spans="2:12" ht="14.65" thickBot="1" x14ac:dyDescent="0.5">
      <c r="B6" s="13" t="s">
        <v>45</v>
      </c>
      <c r="C6" s="13"/>
      <c r="D6" s="13"/>
      <c r="E6" s="74">
        <f>'Raw Data'!M10-'Raw Data'!M9</f>
        <v>4077</v>
      </c>
      <c r="F6" s="74">
        <f>E6*(1+$C$15)</f>
        <v>4922.9775</v>
      </c>
      <c r="G6" s="74">
        <f>F6*(1+$C$15)</f>
        <v>5944.4953312500002</v>
      </c>
      <c r="H6" s="74">
        <f>G6*(1+$C$15)</f>
        <v>7177.9781124843757</v>
      </c>
      <c r="I6" s="74">
        <f>H6*(1+$C$15)</f>
        <v>8667.408570824884</v>
      </c>
      <c r="J6" s="74">
        <f>I6*(1+$C$15)</f>
        <v>10465.895849271048</v>
      </c>
    </row>
    <row r="7" spans="2:12" ht="14.65" thickBot="1" x14ac:dyDescent="0.5">
      <c r="B7" s="13" t="s">
        <v>103</v>
      </c>
      <c r="C7" s="13"/>
      <c r="D7" s="13"/>
      <c r="E7" s="67">
        <v>0.27</v>
      </c>
      <c r="F7" s="62">
        <v>0.27</v>
      </c>
      <c r="G7" s="62">
        <v>0.27</v>
      </c>
      <c r="H7" s="62">
        <v>0.27</v>
      </c>
      <c r="I7" s="62">
        <v>0.27</v>
      </c>
      <c r="J7" s="62">
        <v>0.27</v>
      </c>
    </row>
    <row r="8" spans="2:12" ht="14.65" thickBot="1" x14ac:dyDescent="0.5">
      <c r="B8" s="13" t="s">
        <v>93</v>
      </c>
      <c r="C8" s="13"/>
      <c r="D8" s="13"/>
      <c r="E8" s="74">
        <f t="shared" ref="E8:J8" si="1">E6*(1-E7)</f>
        <v>2976.21</v>
      </c>
      <c r="F8" s="74">
        <f t="shared" si="1"/>
        <v>3593.7735749999997</v>
      </c>
      <c r="G8" s="74">
        <f t="shared" si="1"/>
        <v>4339.4815918124996</v>
      </c>
      <c r="H8" s="74">
        <f t="shared" si="1"/>
        <v>5239.9240221135942</v>
      </c>
      <c r="I8" s="74">
        <f t="shared" si="1"/>
        <v>6327.2082567021653</v>
      </c>
      <c r="J8" s="74">
        <f t="shared" si="1"/>
        <v>7640.1039699678649</v>
      </c>
      <c r="L8" s="70"/>
    </row>
    <row r="9" spans="2:12" ht="14.65" thickBot="1" x14ac:dyDescent="0.5">
      <c r="B9" s="13" t="s">
        <v>104</v>
      </c>
      <c r="C9" s="13"/>
      <c r="D9" s="13"/>
      <c r="E9" s="68">
        <f>ROIC!$I$58</f>
        <v>0.47447681545351239</v>
      </c>
      <c r="F9" s="63">
        <f>E9+($J$9-$E$9)/4</f>
        <v>0.47870761159013431</v>
      </c>
      <c r="G9" s="63">
        <f t="shared" ref="G9:I9" si="2">F9+($J$9-$E$9)/4</f>
        <v>0.48293840772675622</v>
      </c>
      <c r="H9" s="63">
        <f t="shared" si="2"/>
        <v>0.48716920386337814</v>
      </c>
      <c r="I9" s="63">
        <f t="shared" si="2"/>
        <v>0.49140000000000006</v>
      </c>
      <c r="J9" s="62">
        <v>0.4914</v>
      </c>
    </row>
    <row r="10" spans="2:12" ht="14.65" thickBot="1" x14ac:dyDescent="0.5">
      <c r="B10" s="13" t="s">
        <v>105</v>
      </c>
      <c r="C10" s="13"/>
      <c r="D10" s="13"/>
      <c r="E10" s="74">
        <f t="shared" ref="E10:J10" si="3">E8*(1-E9)</f>
        <v>1564.0673570791018</v>
      </c>
      <c r="F10" s="74">
        <f t="shared" si="3"/>
        <v>1873.4068103160114</v>
      </c>
      <c r="G10" s="74">
        <f t="shared" si="3"/>
        <v>2243.7792615030016</v>
      </c>
      <c r="H10" s="74">
        <f t="shared" si="3"/>
        <v>2687.1944079559244</v>
      </c>
      <c r="I10" s="74">
        <f t="shared" si="3"/>
        <v>3218.0181193587209</v>
      </c>
      <c r="J10" s="74">
        <f t="shared" si="3"/>
        <v>3885.7568791256558</v>
      </c>
    </row>
    <row r="11" spans="2:12" ht="14.65" thickBot="1" x14ac:dyDescent="0.5">
      <c r="B11" s="13" t="s">
        <v>106</v>
      </c>
      <c r="C11" s="13"/>
      <c r="D11" s="13"/>
      <c r="E11" s="69"/>
      <c r="F11" s="64">
        <v>0.5</v>
      </c>
      <c r="G11" s="13">
        <f>F11+1</f>
        <v>1.5</v>
      </c>
      <c r="H11" s="13">
        <f t="shared" ref="H11:J11" si="4">G11+1</f>
        <v>2.5</v>
      </c>
      <c r="I11" s="13">
        <f t="shared" si="4"/>
        <v>3.5</v>
      </c>
      <c r="J11" s="13">
        <f t="shared" si="4"/>
        <v>4.5</v>
      </c>
    </row>
    <row r="12" spans="2:12" ht="14.65" thickBot="1" x14ac:dyDescent="0.5">
      <c r="B12" s="13" t="s">
        <v>107</v>
      </c>
      <c r="C12" s="13"/>
      <c r="D12" s="13"/>
      <c r="E12" s="69"/>
      <c r="F12" s="65">
        <f>1/(1+$C$17)^F11</f>
        <v>0.91271882204614041</v>
      </c>
      <c r="G12" s="65">
        <f t="shared" ref="G12:J12" si="5">1/(1+$C$17)^G11</f>
        <v>0.76034556984850088</v>
      </c>
      <c r="H12" s="65">
        <f t="shared" si="5"/>
        <v>0.6334101714832564</v>
      </c>
      <c r="I12" s="65">
        <f t="shared" si="5"/>
        <v>0.52766592092907072</v>
      </c>
      <c r="J12" s="65">
        <f t="shared" si="5"/>
        <v>0.43957507574897603</v>
      </c>
    </row>
    <row r="13" spans="2:12" ht="14.65" thickBot="1" x14ac:dyDescent="0.5">
      <c r="B13" s="34" t="s">
        <v>108</v>
      </c>
      <c r="C13" s="34"/>
      <c r="D13" s="34"/>
      <c r="E13" s="78"/>
      <c r="F13" s="75">
        <f>F10*F12</f>
        <v>1709.8936571248471</v>
      </c>
      <c r="G13" s="75">
        <f t="shared" ref="G13:J13" si="6">G10*G12</f>
        <v>1706.0476212017481</v>
      </c>
      <c r="H13" s="75">
        <f t="shared" si="6"/>
        <v>1702.0962707522096</v>
      </c>
      <c r="I13" s="75">
        <f t="shared" si="6"/>
        <v>1698.0384945178557</v>
      </c>
      <c r="J13" s="75">
        <f t="shared" si="6"/>
        <v>1708.0818744837648</v>
      </c>
    </row>
    <row r="14" spans="2:12" ht="14.65" thickTop="1" x14ac:dyDescent="0.45"/>
    <row r="15" spans="2:12" x14ac:dyDescent="0.45">
      <c r="B15" s="66" t="s">
        <v>109</v>
      </c>
      <c r="C15" s="58">
        <v>0.20749999999999999</v>
      </c>
    </row>
    <row r="16" spans="2:12" x14ac:dyDescent="0.45">
      <c r="B16" s="66" t="s">
        <v>110</v>
      </c>
      <c r="C16" s="58">
        <v>5.3800000000000001E-2</v>
      </c>
    </row>
    <row r="17" spans="2:3" x14ac:dyDescent="0.45">
      <c r="B17" s="66" t="s">
        <v>111</v>
      </c>
      <c r="C17" s="58">
        <v>0.20039999999999999</v>
      </c>
    </row>
    <row r="19" spans="2:3" x14ac:dyDescent="0.45">
      <c r="B19" s="10" t="s">
        <v>114</v>
      </c>
      <c r="C19" s="20"/>
    </row>
    <row r="21" spans="2:3" x14ac:dyDescent="0.45">
      <c r="B21" t="s">
        <v>112</v>
      </c>
      <c r="C21" s="76">
        <f>J10*(1+C15)</f>
        <v>4692.0514315442297</v>
      </c>
    </row>
    <row r="22" spans="2:3" x14ac:dyDescent="0.45">
      <c r="B22" t="s">
        <v>111</v>
      </c>
      <c r="C22" s="60">
        <f>C17</f>
        <v>0.20039999999999999</v>
      </c>
    </row>
    <row r="23" spans="2:3" ht="14.65" thickBot="1" x14ac:dyDescent="0.5">
      <c r="B23" t="s">
        <v>110</v>
      </c>
      <c r="C23" s="60">
        <f>C16</f>
        <v>5.3800000000000001E-2</v>
      </c>
    </row>
    <row r="24" spans="2:3" s="1" customFormat="1" ht="14.65" thickBot="1" x14ac:dyDescent="0.5">
      <c r="B24" s="18" t="s">
        <v>113</v>
      </c>
      <c r="C24" s="75">
        <f>C21/(C22-C23)</f>
        <v>32005.807855008385</v>
      </c>
    </row>
    <row r="25" spans="2:3" ht="14.65" thickTop="1" x14ac:dyDescent="0.45"/>
    <row r="26" spans="2:3" x14ac:dyDescent="0.45">
      <c r="B26" s="10" t="s">
        <v>115</v>
      </c>
      <c r="C26" s="20"/>
    </row>
    <row r="28" spans="2:3" x14ac:dyDescent="0.45">
      <c r="B28" t="s">
        <v>108</v>
      </c>
      <c r="C28" s="76">
        <f>SUM(F13:J13)</f>
        <v>8524.1579180804256</v>
      </c>
    </row>
    <row r="29" spans="2:3" ht="14.65" thickBot="1" x14ac:dyDescent="0.5">
      <c r="B29" t="s">
        <v>116</v>
      </c>
      <c r="C29" s="76">
        <f>C24*J12</f>
        <v>14068.955412272482</v>
      </c>
    </row>
    <row r="30" spans="2:3" ht="14.65" thickBot="1" x14ac:dyDescent="0.5">
      <c r="B30" s="18" t="s">
        <v>117</v>
      </c>
      <c r="C30" s="79">
        <f>SUM(C28:C29)</f>
        <v>22593.113330352906</v>
      </c>
    </row>
    <row r="31" spans="2:3" ht="14.65" thickTop="1" x14ac:dyDescent="0.45"/>
    <row r="32" spans="2:3" x14ac:dyDescent="0.45">
      <c r="B32" t="s">
        <v>118</v>
      </c>
      <c r="C32" s="76">
        <f>Sheet1!M40</f>
        <v>782</v>
      </c>
    </row>
    <row r="33" spans="2:3" ht="14.65" thickBot="1" x14ac:dyDescent="0.5">
      <c r="B33" t="s">
        <v>119</v>
      </c>
      <c r="C33" s="76">
        <f>Sheet1!M10+Sheet1!M11</f>
        <v>864</v>
      </c>
    </row>
    <row r="34" spans="2:3" ht="14.65" thickBot="1" x14ac:dyDescent="0.5">
      <c r="B34" s="18" t="s">
        <v>120</v>
      </c>
      <c r="C34" s="75">
        <f>C30+C32-C33</f>
        <v>22511.113330352906</v>
      </c>
    </row>
    <row r="35" spans="2:3" ht="15" thickTop="1" thickBot="1" x14ac:dyDescent="0.5">
      <c r="B35" t="s">
        <v>121</v>
      </c>
      <c r="C35" s="59">
        <v>96</v>
      </c>
    </row>
    <row r="36" spans="2:3" ht="14.65" thickBot="1" x14ac:dyDescent="0.5">
      <c r="B36" s="18" t="s">
        <v>122</v>
      </c>
      <c r="C36" s="75">
        <f>C34/C35</f>
        <v>234.49076385784278</v>
      </c>
    </row>
    <row r="37" spans="2:3" ht="15" thickTop="1" thickBot="1" x14ac:dyDescent="0.5"/>
    <row r="38" spans="2:3" ht="14.65" thickBot="1" x14ac:dyDescent="0.5">
      <c r="B38" t="s">
        <v>123</v>
      </c>
      <c r="C38" s="77">
        <v>2739</v>
      </c>
    </row>
    <row r="39" spans="2:3" ht="14.65" thickTop="1" x14ac:dyDescent="0.45">
      <c r="B39" t="s">
        <v>124</v>
      </c>
      <c r="C39" s="61">
        <f>C38/C36</f>
        <v>11.680630635245343</v>
      </c>
    </row>
  </sheetData>
  <mergeCells count="1">
    <mergeCell ref="B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ROIC</vt:lpstr>
      <vt:lpstr>Raw Data</vt:lpstr>
      <vt:lpstr>FCFF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Raj</dc:creator>
  <cp:lastModifiedBy>Rishi Raj</cp:lastModifiedBy>
  <cp:lastPrinted>2026-06-17T18:04:50Z</cp:lastPrinted>
  <dcterms:created xsi:type="dcterms:W3CDTF">2026-06-15T13:31:57Z</dcterms:created>
  <dcterms:modified xsi:type="dcterms:W3CDTF">2026-06-19T06:18:02Z</dcterms:modified>
</cp:coreProperties>
</file>