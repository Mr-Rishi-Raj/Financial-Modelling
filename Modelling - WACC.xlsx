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\"/>
    </mc:Choice>
  </mc:AlternateContent>
  <xr:revisionPtr revIDLastSave="0" documentId="13_ncr:1_{EBD0798E-4727-43F0-A0DA-9E58AC0550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"01/26/2023 09:21:20"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sNs8ZnJZ63QGSsMj/eWmahoXrCWUpkRU5Q/NoxLRjI="/>
    </ext>
  </extLst>
</workbook>
</file>

<file path=xl/calcChain.xml><?xml version="1.0" encoding="utf-8"?>
<calcChain xmlns="http://schemas.openxmlformats.org/spreadsheetml/2006/main">
  <c r="J42" i="1" l="1"/>
  <c r="C37" i="1"/>
  <c r="J36" i="1"/>
  <c r="E28" i="1"/>
  <c r="I21" i="1"/>
  <c r="F21" i="1"/>
  <c r="I20" i="1"/>
  <c r="F20" i="1"/>
  <c r="H18" i="1"/>
  <c r="G18" i="1"/>
  <c r="H17" i="1"/>
  <c r="G17" i="1"/>
  <c r="H16" i="1"/>
  <c r="G16" i="1"/>
  <c r="H15" i="1"/>
  <c r="G15" i="1"/>
  <c r="H14" i="1"/>
  <c r="G14" i="1"/>
  <c r="I42" i="1" l="1"/>
  <c r="D37" i="1"/>
  <c r="E37" i="1" s="1"/>
  <c r="E36" i="1" s="1"/>
  <c r="D36" i="1"/>
  <c r="D35" i="1"/>
  <c r="D39" i="1" s="1"/>
  <c r="H20" i="1"/>
  <c r="G21" i="1"/>
  <c r="H21" i="1"/>
  <c r="J18" i="1"/>
  <c r="G20" i="1"/>
  <c r="J17" i="1"/>
  <c r="J16" i="1"/>
  <c r="J15" i="1"/>
  <c r="J14" i="1"/>
  <c r="E39" i="1" l="1"/>
  <c r="J35" i="1" s="1"/>
  <c r="J43" i="1"/>
  <c r="J20" i="1"/>
  <c r="J21" i="1"/>
  <c r="J34" i="1" s="1"/>
  <c r="J37" i="1" s="1"/>
  <c r="J28" i="1" s="1"/>
  <c r="J29" i="1" s="1"/>
  <c r="I43" i="1" s="1"/>
  <c r="J44" i="1" s="1"/>
</calcChain>
</file>

<file path=xl/sharedStrings.xml><?xml version="1.0" encoding="utf-8"?>
<sst xmlns="http://schemas.openxmlformats.org/spreadsheetml/2006/main" count="60" uniqueCount="50">
  <si>
    <t>Weighted Average Cost of Capital</t>
  </si>
  <si>
    <t>All figures are in INR unless stated otherwise.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</si>
  <si>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</si>
  <si>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</si>
  <si>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</si>
  <si>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</si>
  <si>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</si>
  <si>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</si>
  <si>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</si>
  <si>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</si>
  <si>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r>
      <rPr>
        <sz val="11"/>
        <color theme="1"/>
        <rFont val="Calibri"/>
      </rPr>
      <t xml:space="preserve">Tax Rate </t>
    </r>
    <r>
      <rPr>
        <vertAlign val="superscript"/>
        <sz val="11"/>
        <color theme="1"/>
        <rFont val="Calibri"/>
      </rPr>
      <t>1</t>
    </r>
  </si>
  <si>
    <t>Equity</t>
  </si>
  <si>
    <t>Capital</t>
  </si>
  <si>
    <r>
      <rPr>
        <sz val="11"/>
        <color theme="1"/>
        <rFont val="Calibri"/>
      </rPr>
      <t xml:space="preserve">Beta </t>
    </r>
    <r>
      <rPr>
        <vertAlign val="superscript"/>
        <sz val="11"/>
        <color theme="1"/>
        <rFont val="Calibri"/>
      </rPr>
      <t>2</t>
    </r>
  </si>
  <si>
    <r>
      <rPr>
        <sz val="11"/>
        <color theme="1"/>
        <rFont val="Calibri"/>
      </rPr>
      <t xml:space="preserve">Beta </t>
    </r>
    <r>
      <rPr>
        <vertAlign val="superscript"/>
        <sz val="11"/>
        <color theme="1"/>
        <rFont val="Calibri"/>
      </rPr>
      <t>3</t>
    </r>
  </si>
  <si>
    <t>Hind. Unilever</t>
  </si>
  <si>
    <t>India</t>
  </si>
  <si>
    <t>Nestle India</t>
  </si>
  <si>
    <t>Britannia Inds.</t>
  </si>
  <si>
    <t>Godrej Consumer</t>
  </si>
  <si>
    <t>Dabur India</t>
  </si>
  <si>
    <t>Average</t>
  </si>
  <si>
    <t>Median</t>
  </si>
  <si>
    <t>Cost of Debt</t>
  </si>
  <si>
    <t>Cost of Equity</t>
  </si>
  <si>
    <t>Pre-tax Cost of Debt</t>
  </si>
  <si>
    <t>Risk Free Rate</t>
  </si>
  <si>
    <t>Tax Rate</t>
  </si>
  <si>
    <t>Equity Risk Premium</t>
  </si>
  <si>
    <t>After Tax Cost of Debt</t>
  </si>
  <si>
    <r>
      <rPr>
        <sz val="11"/>
        <color theme="1"/>
        <rFont val="Calibri"/>
      </rPr>
      <t xml:space="preserve">Levered Beta </t>
    </r>
    <r>
      <rPr>
        <vertAlign val="superscript"/>
        <sz val="11"/>
        <color theme="1"/>
        <rFont val="Calibri"/>
      </rPr>
      <t>4</t>
    </r>
  </si>
  <si>
    <t>Capital Structure</t>
  </si>
  <si>
    <t xml:space="preserve">Levered Beta </t>
  </si>
  <si>
    <t>Current</t>
  </si>
  <si>
    <t>Target</t>
  </si>
  <si>
    <t>Comps Median Unlevered Beta</t>
  </si>
  <si>
    <t xml:space="preserve">Target Debt/ Equity  </t>
  </si>
  <si>
    <t>Market Capitalization</t>
  </si>
  <si>
    <t>Total Capitalization</t>
  </si>
  <si>
    <t>Levered Beta</t>
  </si>
  <si>
    <t>Debt / Equity</t>
  </si>
  <si>
    <t>1. Tax Rate considered as Marginal Tax Rate for the country</t>
  </si>
  <si>
    <t>Total Cost</t>
  </si>
  <si>
    <t>Total Weight</t>
  </si>
  <si>
    <t>2. Levered Beta is based on 5 year monthly data</t>
  </si>
  <si>
    <t>Debt Capital</t>
  </si>
  <si>
    <t xml:space="preserve"> </t>
  </si>
  <si>
    <t>3. Unlevered Beta = Levered Beta/(1+(1-Tax Rate) x Debt/Equity)</t>
  </si>
  <si>
    <t>Equity Capital</t>
  </si>
  <si>
    <t>4. Levered Beta = Unlevered Beta*(1+(1-Tax Rate) x Debt/Equity)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</si>
</sst>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1"/>
      <color rgb="FF3333FF"/>
      <name val="Calibri"/>
    </font>
    <font>
      <i/>
      <sz val="9"/>
      <color theme="1"/>
      <name val="Calibri"/>
    </font>
    <font>
      <vertAlign val="superscript"/>
      <sz val="11"/>
      <color theme="1"/>
      <name val="Calibri"/>
    </font>
    <font>
      <sz val="11"/>
      <color theme="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00206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4" fillId="0" borderId="0" xfId="0" applyFont="1"/>
    <xf numFmtId="0" fontId="5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right"/>
    </xf>
    <xf numFmtId="164" fontId="6" fillId="0" borderId="0" xfId="0" applyNumberFormat="1" applyFont="1"/>
    <xf numFmtId="10" fontId="6" fillId="0" borderId="0" xfId="0" applyNumberFormat="1" applyFont="1" applyAlignment="1">
      <alignment vertical="top"/>
    </xf>
    <xf numFmtId="10" fontId="1" fillId="3" borderId="1" xfId="0" applyNumberFormat="1" applyFont="1" applyFill="1" applyBorder="1"/>
    <xf numFmtId="2" fontId="6" fillId="0" borderId="0" xfId="0" applyNumberFormat="1" applyFont="1"/>
    <xf numFmtId="2" fontId="1" fillId="3" borderId="1" xfId="0" applyNumberFormat="1" applyFont="1" applyFill="1" applyBorder="1"/>
    <xf numFmtId="10" fontId="1" fillId="0" borderId="0" xfId="0" applyNumberFormat="1" applyFont="1"/>
    <xf numFmtId="0" fontId="5" fillId="0" borderId="4" xfId="0" applyFont="1" applyBorder="1"/>
    <xf numFmtId="10" fontId="1" fillId="0" borderId="4" xfId="0" applyNumberFormat="1" applyFont="1" applyBorder="1"/>
    <xf numFmtId="2" fontId="1" fillId="0" borderId="4" xfId="0" applyNumberFormat="1" applyFont="1" applyBorder="1"/>
    <xf numFmtId="0" fontId="5" fillId="0" borderId="5" xfId="0" applyFont="1" applyBorder="1"/>
    <xf numFmtId="10" fontId="1" fillId="0" borderId="5" xfId="0" applyNumberFormat="1" applyFont="1" applyBorder="1"/>
    <xf numFmtId="2" fontId="1" fillId="0" borderId="5" xfId="0" applyNumberFormat="1" applyFont="1" applyBorder="1"/>
    <xf numFmtId="2" fontId="1" fillId="0" borderId="0" xfId="0" applyNumberFormat="1" applyFont="1"/>
    <xf numFmtId="0" fontId="1" fillId="0" borderId="5" xfId="0" applyFont="1" applyBorder="1"/>
    <xf numFmtId="10" fontId="6" fillId="0" borderId="0" xfId="0" applyNumberFormat="1" applyFont="1"/>
    <xf numFmtId="0" fontId="1" fillId="0" borderId="6" xfId="0" applyFont="1" applyBorder="1"/>
    <xf numFmtId="10" fontId="1" fillId="3" borderId="7" xfId="0" applyNumberFormat="1" applyFont="1" applyFill="1" applyBorder="1"/>
    <xf numFmtId="0" fontId="5" fillId="0" borderId="5" xfId="0" applyFont="1" applyBorder="1" applyAlignment="1">
      <alignment horizontal="right"/>
    </xf>
    <xf numFmtId="164" fontId="1" fillId="0" borderId="6" xfId="0" applyNumberFormat="1" applyFont="1" applyBorder="1"/>
    <xf numFmtId="10" fontId="1" fillId="0" borderId="6" xfId="0" applyNumberFormat="1" applyFont="1" applyBorder="1"/>
    <xf numFmtId="2" fontId="1" fillId="0" borderId="6" xfId="0" applyNumberFormat="1" applyFont="1" applyBorder="1"/>
    <xf numFmtId="0" fontId="7" fillId="0" borderId="0" xfId="0" applyFont="1"/>
    <xf numFmtId="10" fontId="1" fillId="0" borderId="8" xfId="0" applyNumberFormat="1" applyFont="1" applyBorder="1"/>
    <xf numFmtId="0" fontId="1" fillId="0" borderId="8" xfId="0" applyFont="1" applyBorder="1"/>
    <xf numFmtId="0" fontId="7" fillId="0" borderId="0" xfId="0" applyFont="1" applyAlignment="1">
      <alignment vertical="top"/>
    </xf>
    <xf numFmtId="0" fontId="9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D6" sqref="D6"/>
    </sheetView>
  </sheetViews>
  <sheetFormatPr defaultColWidth="14.3984375" defaultRowHeight="15" customHeight="1" x14ac:dyDescent="0.45"/>
  <cols>
    <col min="1" max="1" width="1.86328125" customWidth="1"/>
    <col min="2" max="2" width="19.86328125" customWidth="1"/>
    <col min="3" max="3" width="20.3984375" customWidth="1"/>
    <col min="4" max="4" width="10.1328125" customWidth="1"/>
    <col min="5" max="5" width="11.3984375" customWidth="1"/>
    <col min="6" max="6" width="10.86328125" customWidth="1"/>
    <col min="7" max="8" width="9.265625" customWidth="1"/>
    <col min="9" max="9" width="13.86328125" customWidth="1"/>
    <col min="10" max="10" width="12.1328125" customWidth="1"/>
    <col min="11" max="11" width="12.265625" customWidth="1"/>
    <col min="12" max="13" width="9.1328125" customWidth="1"/>
    <col min="14" max="14" width="16.53125" customWidth="1"/>
    <col min="15" max="15" width="9.86328125" customWidth="1"/>
    <col min="16" max="16" width="6.53125" customWidth="1"/>
    <col min="17" max="26" width="8.73046875" customWidth="1"/>
  </cols>
  <sheetData>
    <row r="1" spans="1:26" ht="14.25" x14ac:dyDescent="0.45">
      <c r="A1" s="1"/>
      <c r="B1" s="39"/>
      <c r="C1" s="39"/>
      <c r="D1" s="39"/>
      <c r="E1" s="39"/>
      <c r="F1" s="39"/>
      <c r="G1" s="39"/>
      <c r="H1" s="39"/>
      <c r="I1" s="39"/>
      <c r="J1" s="3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x14ac:dyDescent="0.45">
      <c r="A2" s="1"/>
      <c r="B2" s="39"/>
      <c r="C2" s="39"/>
      <c r="D2" s="39"/>
      <c r="E2" s="39"/>
      <c r="F2" s="39"/>
      <c r="G2" s="39"/>
      <c r="H2" s="39"/>
      <c r="I2" s="39"/>
      <c r="J2" s="3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x14ac:dyDescent="0.45">
      <c r="A3" s="1"/>
      <c r="B3" s="39"/>
      <c r="C3" s="39"/>
      <c r="D3" s="39"/>
      <c r="E3" s="39"/>
      <c r="F3" s="39"/>
      <c r="G3" s="39"/>
      <c r="H3" s="39"/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x14ac:dyDescent="0.45">
      <c r="A4" s="1"/>
      <c r="B4" s="39"/>
      <c r="C4" s="39"/>
      <c r="D4" s="39"/>
      <c r="E4" s="39"/>
      <c r="F4" s="39"/>
      <c r="G4" s="39"/>
      <c r="H4" s="39"/>
      <c r="I4" s="39"/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55000000000000004">
      <c r="A6" s="1"/>
      <c r="B6" s="2" t="s">
        <v>0</v>
      </c>
      <c r="C6" s="3"/>
      <c r="D6" s="3"/>
      <c r="E6" s="3"/>
      <c r="F6" s="4"/>
      <c r="G6" s="4"/>
      <c r="H6" s="4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x14ac:dyDescent="0.45">
      <c r="A8" s="1"/>
      <c r="B8" s="5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x14ac:dyDescent="0.45">
      <c r="A10" s="1"/>
      <c r="B10" s="6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45">
      <c r="A11" s="1"/>
      <c r="B11" s="7"/>
      <c r="C11" s="7"/>
      <c r="D11" s="7"/>
      <c r="E11" s="7"/>
      <c r="F11" s="8"/>
      <c r="G11" s="8" t="s">
        <v>3</v>
      </c>
      <c r="H11" s="8" t="s">
        <v>3</v>
      </c>
      <c r="I11" s="8" t="s">
        <v>4</v>
      </c>
      <c r="J11" s="8" t="s">
        <v>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 x14ac:dyDescent="0.45">
      <c r="A12" s="1"/>
      <c r="B12" s="9" t="s">
        <v>6</v>
      </c>
      <c r="C12" s="9" t="s">
        <v>7</v>
      </c>
      <c r="D12" s="10" t="s">
        <v>8</v>
      </c>
      <c r="E12" s="10" t="s">
        <v>9</v>
      </c>
      <c r="F12" s="10" t="s">
        <v>10</v>
      </c>
      <c r="G12" s="10" t="s">
        <v>11</v>
      </c>
      <c r="H12" s="10" t="s">
        <v>12</v>
      </c>
      <c r="I12" s="10" t="s">
        <v>13</v>
      </c>
      <c r="J12" s="10" t="s">
        <v>14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x14ac:dyDescent="0.45">
      <c r="A13" s="1"/>
      <c r="B13" s="11"/>
      <c r="C13" s="11"/>
      <c r="D13" s="11"/>
      <c r="E13" s="11"/>
      <c r="F13" s="11"/>
      <c r="G13" s="11"/>
      <c r="H13" s="11"/>
      <c r="I13" s="11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x14ac:dyDescent="0.45">
      <c r="A14" s="1"/>
      <c r="B14" s="12" t="s">
        <v>15</v>
      </c>
      <c r="C14" s="13" t="s">
        <v>16</v>
      </c>
      <c r="D14" s="14">
        <v>1139</v>
      </c>
      <c r="E14" s="14">
        <v>611503.89</v>
      </c>
      <c r="F14" s="15">
        <v>0.3</v>
      </c>
      <c r="G14" s="16">
        <f t="shared" ref="G14:G18" si="0">D14/E14</f>
        <v>1.8626210211025803E-3</v>
      </c>
      <c r="H14" s="16">
        <f t="shared" ref="H14:H18" si="1">D14/(E14+D14)</f>
        <v>1.8591581141176713E-3</v>
      </c>
      <c r="I14" s="17">
        <v>1</v>
      </c>
      <c r="J14" s="18">
        <f t="shared" ref="J14:J18" si="2">I14/(1+(1-F14)*G14)</f>
        <v>0.99869786305657837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x14ac:dyDescent="0.45">
      <c r="A15" s="1"/>
      <c r="B15" s="12" t="s">
        <v>17</v>
      </c>
      <c r="C15" s="13" t="s">
        <v>16</v>
      </c>
      <c r="D15" s="14">
        <v>279.93</v>
      </c>
      <c r="E15" s="14">
        <v>182975.03</v>
      </c>
      <c r="F15" s="15">
        <v>0.3</v>
      </c>
      <c r="G15" s="16">
        <f t="shared" si="0"/>
        <v>1.5298808804676792E-3</v>
      </c>
      <c r="H15" s="16">
        <f t="shared" si="1"/>
        <v>1.5275439202300446E-3</v>
      </c>
      <c r="I15" s="17">
        <v>1</v>
      </c>
      <c r="J15" s="18">
        <f t="shared" si="2"/>
        <v>0.9989302290191916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x14ac:dyDescent="0.45">
      <c r="A16" s="1"/>
      <c r="B16" s="12" t="s">
        <v>18</v>
      </c>
      <c r="C16" s="13" t="s">
        <v>16</v>
      </c>
      <c r="D16" s="14">
        <v>3037.7</v>
      </c>
      <c r="E16" s="14">
        <v>110689.96</v>
      </c>
      <c r="F16" s="15">
        <v>0.3</v>
      </c>
      <c r="G16" s="16">
        <f t="shared" si="0"/>
        <v>2.7443320062632597E-2</v>
      </c>
      <c r="H16" s="16">
        <f t="shared" si="1"/>
        <v>2.671030073071054E-2</v>
      </c>
      <c r="I16" s="17">
        <v>1</v>
      </c>
      <c r="J16" s="18">
        <f t="shared" si="2"/>
        <v>0.98115175681539069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x14ac:dyDescent="0.45">
      <c r="A17" s="1"/>
      <c r="B17" s="12" t="s">
        <v>19</v>
      </c>
      <c r="C17" s="13" t="s">
        <v>16</v>
      </c>
      <c r="D17" s="14">
        <v>1164.46</v>
      </c>
      <c r="E17" s="14">
        <v>96256.38</v>
      </c>
      <c r="F17" s="15">
        <v>0.3</v>
      </c>
      <c r="G17" s="16">
        <f t="shared" si="0"/>
        <v>1.2097483823929386E-2</v>
      </c>
      <c r="H17" s="16">
        <f t="shared" si="1"/>
        <v>1.1952884003053145E-2</v>
      </c>
      <c r="I17" s="17">
        <v>1</v>
      </c>
      <c r="J17" s="18">
        <f t="shared" si="2"/>
        <v>0.99160287022240579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x14ac:dyDescent="0.45">
      <c r="A18" s="1"/>
      <c r="B18" s="12" t="s">
        <v>20</v>
      </c>
      <c r="C18" s="13" t="s">
        <v>16</v>
      </c>
      <c r="D18" s="14">
        <v>1068.1099999999999</v>
      </c>
      <c r="E18" s="14">
        <v>94940.38</v>
      </c>
      <c r="F18" s="15">
        <v>0.3</v>
      </c>
      <c r="G18" s="16">
        <f t="shared" si="0"/>
        <v>1.1250323624152335E-2</v>
      </c>
      <c r="H18" s="16">
        <f t="shared" si="1"/>
        <v>1.1125161951823217E-2</v>
      </c>
      <c r="I18" s="17">
        <v>1</v>
      </c>
      <c r="J18" s="18">
        <f t="shared" si="2"/>
        <v>0.99218630805723229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x14ac:dyDescent="0.45">
      <c r="A19" s="1"/>
      <c r="B19" s="1"/>
      <c r="C19" s="1"/>
      <c r="D19" s="1"/>
      <c r="E19" s="1"/>
      <c r="F19" s="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"/>
      <c r="B20" s="1"/>
      <c r="C20" s="1"/>
      <c r="D20" s="1"/>
      <c r="E20" s="20" t="s">
        <v>21</v>
      </c>
      <c r="F20" s="21">
        <f t="shared" ref="F20:J20" si="3">AVERAGE(F14:F18)</f>
        <v>0.3</v>
      </c>
      <c r="G20" s="21">
        <f t="shared" si="3"/>
        <v>1.0836725882456915E-2</v>
      </c>
      <c r="H20" s="21">
        <f t="shared" si="3"/>
        <v>1.0635009743986925E-2</v>
      </c>
      <c r="I20" s="22">
        <f t="shared" si="3"/>
        <v>1</v>
      </c>
      <c r="J20" s="22">
        <f t="shared" si="3"/>
        <v>0.99251380543415968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5">
      <c r="A21" s="1"/>
      <c r="B21" s="1"/>
      <c r="C21" s="1"/>
      <c r="D21" s="1"/>
      <c r="E21" s="23" t="s">
        <v>22</v>
      </c>
      <c r="F21" s="24">
        <f t="shared" ref="F21:J21" si="4">MEDIAN(F14:F18)</f>
        <v>0.3</v>
      </c>
      <c r="G21" s="24">
        <f t="shared" si="4"/>
        <v>1.1250323624152335E-2</v>
      </c>
      <c r="H21" s="24">
        <f t="shared" si="4"/>
        <v>1.1125161951823217E-2</v>
      </c>
      <c r="I21" s="25">
        <f t="shared" si="4"/>
        <v>1</v>
      </c>
      <c r="J21" s="25">
        <f t="shared" si="4"/>
        <v>0.99218630805723229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1"/>
      <c r="B22" s="1"/>
      <c r="C22" s="1"/>
      <c r="D22" s="1"/>
      <c r="E22" s="1"/>
      <c r="F22" s="1"/>
      <c r="G22" s="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5">
      <c r="A23" s="1"/>
      <c r="B23" s="1"/>
      <c r="C23" s="1"/>
      <c r="D23" s="1"/>
      <c r="E23" s="1"/>
      <c r="F23" s="1"/>
      <c r="G23" s="2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5">
      <c r="A24" s="1"/>
      <c r="B24" s="23" t="s">
        <v>23</v>
      </c>
      <c r="C24" s="27"/>
      <c r="D24" s="27"/>
      <c r="E24" s="27"/>
      <c r="F24" s="1"/>
      <c r="G24" s="23" t="s">
        <v>24</v>
      </c>
      <c r="H24" s="27"/>
      <c r="I24" s="27"/>
      <c r="J24" s="2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5">
      <c r="A25" s="1"/>
      <c r="B25" s="26"/>
      <c r="C25" s="1"/>
      <c r="D25" s="1"/>
      <c r="E25" s="1"/>
      <c r="F25" s="1"/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A26" s="1"/>
      <c r="B26" s="1" t="s">
        <v>25</v>
      </c>
      <c r="C26" s="1"/>
      <c r="D26" s="1"/>
      <c r="E26" s="19">
        <v>8.4000000000000005E-2</v>
      </c>
      <c r="F26" s="1"/>
      <c r="G26" s="1" t="s">
        <v>26</v>
      </c>
      <c r="H26" s="1"/>
      <c r="I26" s="1"/>
      <c r="J26" s="28">
        <v>6.5000000000000002E-2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5">
      <c r="A27" s="1"/>
      <c r="B27" s="1" t="s">
        <v>27</v>
      </c>
      <c r="C27" s="1"/>
      <c r="D27" s="1"/>
      <c r="E27" s="19">
        <v>0.3</v>
      </c>
      <c r="F27" s="1"/>
      <c r="G27" s="1" t="s">
        <v>28</v>
      </c>
      <c r="H27" s="1"/>
      <c r="I27" s="1"/>
      <c r="J27" s="28">
        <v>0.08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5">
      <c r="A28" s="1"/>
      <c r="B28" s="29" t="s">
        <v>29</v>
      </c>
      <c r="C28" s="29"/>
      <c r="D28" s="29"/>
      <c r="E28" s="30">
        <f>E26*(1-E27)</f>
        <v>5.8799999999999998E-2</v>
      </c>
      <c r="F28" s="1"/>
      <c r="G28" s="1" t="s">
        <v>30</v>
      </c>
      <c r="H28" s="1"/>
      <c r="I28" s="1"/>
      <c r="J28" s="18">
        <f>J37</f>
        <v>1.5055348761390175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5">
      <c r="A29" s="1"/>
      <c r="B29" s="1"/>
      <c r="C29" s="1"/>
      <c r="D29" s="1"/>
      <c r="E29" s="1"/>
      <c r="F29" s="1"/>
      <c r="G29" s="29" t="s">
        <v>24</v>
      </c>
      <c r="H29" s="29"/>
      <c r="I29" s="29"/>
      <c r="J29" s="30">
        <f>J26+J27*J28</f>
        <v>0.18544279009112141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5">
      <c r="A32" s="1"/>
      <c r="B32" s="23" t="s">
        <v>31</v>
      </c>
      <c r="C32" s="27"/>
      <c r="D32" s="27"/>
      <c r="E32" s="27"/>
      <c r="F32" s="1"/>
      <c r="G32" s="23" t="s">
        <v>32</v>
      </c>
      <c r="H32" s="27"/>
      <c r="I32" s="27"/>
      <c r="J32" s="2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5">
      <c r="A34" s="1"/>
      <c r="B34" s="1"/>
      <c r="C34" s="1"/>
      <c r="D34" s="31" t="s">
        <v>33</v>
      </c>
      <c r="E34" s="31" t="s">
        <v>34</v>
      </c>
      <c r="F34" s="1"/>
      <c r="G34" s="26" t="s">
        <v>35</v>
      </c>
      <c r="H34" s="1"/>
      <c r="I34" s="1"/>
      <c r="J34" s="26">
        <f>J21</f>
        <v>0.99218630805723229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5">
      <c r="A35" s="1"/>
      <c r="B35" s="1" t="s">
        <v>8</v>
      </c>
      <c r="C35" s="14">
        <v>17440</v>
      </c>
      <c r="D35" s="19">
        <f t="shared" ref="D35:D37" si="5">C35/$C$37</f>
        <v>0.35087013378935722</v>
      </c>
      <c r="E35" s="28">
        <v>0.42499999999999999</v>
      </c>
      <c r="F35" s="1"/>
      <c r="G35" s="1" t="s">
        <v>36</v>
      </c>
      <c r="H35" s="1"/>
      <c r="I35" s="1"/>
      <c r="J35" s="19">
        <f>E39</f>
        <v>0.73913043478260876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5">
      <c r="A36" s="1"/>
      <c r="B36" s="1" t="s">
        <v>37</v>
      </c>
      <c r="C36" s="14">
        <v>32265</v>
      </c>
      <c r="D36" s="19">
        <f t="shared" si="5"/>
        <v>0.64912986621064284</v>
      </c>
      <c r="E36" s="19">
        <f>E37-E35</f>
        <v>0.57499999999999996</v>
      </c>
      <c r="F36" s="1"/>
      <c r="G36" s="1" t="s">
        <v>27</v>
      </c>
      <c r="H36" s="1"/>
      <c r="I36" s="1"/>
      <c r="J36" s="19">
        <f>E27</f>
        <v>0.3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5">
      <c r="A37" s="1"/>
      <c r="B37" s="1" t="s">
        <v>38</v>
      </c>
      <c r="C37" s="32">
        <f>SUM(C35:C36)</f>
        <v>49705</v>
      </c>
      <c r="D37" s="33">
        <f t="shared" si="5"/>
        <v>1</v>
      </c>
      <c r="E37" s="33">
        <f>D37</f>
        <v>1</v>
      </c>
      <c r="F37" s="1"/>
      <c r="G37" s="29" t="s">
        <v>39</v>
      </c>
      <c r="H37" s="29"/>
      <c r="I37" s="29"/>
      <c r="J37" s="34">
        <f>J34*(1+(1-J36)*J35)</f>
        <v>1.5055348761390175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5">
      <c r="A39" s="1"/>
      <c r="B39" s="1" t="s">
        <v>40</v>
      </c>
      <c r="C39" s="1"/>
      <c r="D39" s="16">
        <f t="shared" ref="D39:E39" si="6">D35/D36</f>
        <v>0.54052378738571205</v>
      </c>
      <c r="E39" s="16">
        <f t="shared" si="6"/>
        <v>0.73913043478260876</v>
      </c>
      <c r="F39" s="1"/>
      <c r="G39" s="23" t="s">
        <v>0</v>
      </c>
      <c r="H39" s="27"/>
      <c r="I39" s="27"/>
      <c r="J39" s="2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5">
      <c r="A40" s="1"/>
      <c r="B40" s="1"/>
      <c r="C40" s="1"/>
      <c r="D40" s="1"/>
      <c r="E40" s="1"/>
      <c r="F40" s="1"/>
      <c r="G40" s="2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5">
      <c r="A41" s="1"/>
      <c r="B41" s="35" t="s">
        <v>41</v>
      </c>
      <c r="C41" s="1"/>
      <c r="D41" s="1"/>
      <c r="E41" s="1"/>
      <c r="F41" s="1"/>
      <c r="G41" s="1"/>
      <c r="H41" s="1"/>
      <c r="I41" s="36" t="s">
        <v>42</v>
      </c>
      <c r="J41" s="37" t="s">
        <v>43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5">
      <c r="A42" s="1"/>
      <c r="B42" s="38" t="s">
        <v>44</v>
      </c>
      <c r="C42" s="11"/>
      <c r="D42" s="11"/>
      <c r="E42" s="1"/>
      <c r="F42" s="1"/>
      <c r="G42" s="1" t="s">
        <v>45</v>
      </c>
      <c r="H42" s="1"/>
      <c r="I42" s="19">
        <f>E28</f>
        <v>5.8799999999999998E-2</v>
      </c>
      <c r="J42" s="19">
        <f t="shared" ref="J42:J43" si="7">E35</f>
        <v>0.42499999999999999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5">
      <c r="A43" s="1" t="s">
        <v>46</v>
      </c>
      <c r="B43" s="38" t="s">
        <v>47</v>
      </c>
      <c r="C43" s="11"/>
      <c r="D43" s="11"/>
      <c r="E43" s="1"/>
      <c r="F43" s="1"/>
      <c r="G43" s="1" t="s">
        <v>48</v>
      </c>
      <c r="H43" s="1"/>
      <c r="I43" s="19">
        <f>J29</f>
        <v>0.18544279009112141</v>
      </c>
      <c r="J43" s="19">
        <f t="shared" si="7"/>
        <v>0.57499999999999996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5">
      <c r="A44" s="1"/>
      <c r="B44" s="38" t="s">
        <v>49</v>
      </c>
      <c r="C44" s="11"/>
      <c r="D44" s="11"/>
      <c r="E44" s="1"/>
      <c r="F44" s="1"/>
      <c r="G44" s="29" t="s">
        <v>0</v>
      </c>
      <c r="H44" s="29"/>
      <c r="I44" s="33"/>
      <c r="J44" s="30">
        <f>SUMPRODUCT(I42:I43,J42:J43)</f>
        <v>0.1316196043023948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Rishi Raj</cp:lastModifiedBy>
  <dcterms:created xsi:type="dcterms:W3CDTF">2023-02-06T14:53:36Z</dcterms:created>
  <dcterms:modified xsi:type="dcterms:W3CDTF">2026-06-12T06:21:03Z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